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agure/Documents/works/VBAツール/"/>
    </mc:Choice>
  </mc:AlternateContent>
  <xr:revisionPtr revIDLastSave="0" documentId="13_ncr:1_{99A03703-5F2B-D946-AB28-24E018CD507F}" xr6:coauthVersionLast="43" xr6:coauthVersionMax="43" xr10:uidLastSave="{00000000-0000-0000-0000-000000000000}"/>
  <bookViews>
    <workbookView xWindow="4160" yWindow="3240" windowWidth="35260" windowHeight="17180" activeTab="5" xr2:uid="{661EB086-96B1-A64D-AD4B-A5CB73A5A516}"/>
  </bookViews>
  <sheets>
    <sheet name="仕様" sheetId="1" r:id="rId1"/>
    <sheet name="型" sheetId="4" r:id="rId2"/>
    <sheet name="Charset" sheetId="9" state="veryHidden" r:id="rId3"/>
    <sheet name="Define" sheetId="8" state="veryHidden" r:id="rId4"/>
    <sheet name="例" sheetId="7" r:id="rId5"/>
    <sheet name="Template" sheetId="10" r:id="rId6"/>
  </sheets>
  <functionGroups builtInGroupCount="19"/>
  <definedNames>
    <definedName name="_xlnm._FilterDatabase" localSheetId="1" hidden="1">型!$A$8:$J$43</definedName>
    <definedName name="Charset_List">Define!$J$10:$J$50</definedName>
    <definedName name="DataTypeCategory">Define!$A$10:$A$12</definedName>
    <definedName name="ENGINE">Define!$G$10:$G$12</definedName>
    <definedName name="MySQL_Ver">Define!$A$15:$A$20</definedName>
    <definedName name="数値型">Define!$C$10:$C$19</definedName>
    <definedName name="日付・時間型">Define!$D$10:$D$14</definedName>
    <definedName name="文字列型">Define!$E$10:$E$16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 i="10" l="1"/>
  <c r="F3" i="4" l="1"/>
  <c r="F2" i="4"/>
  <c r="F1" i="4" s="1"/>
  <c r="B6" i="1"/>
  <c r="B7" i="1"/>
  <c r="B8" i="1"/>
  <c r="B9" i="1"/>
  <c r="B10" i="1"/>
  <c r="B11" i="1"/>
  <c r="B12" i="1"/>
  <c r="B13" i="1"/>
  <c r="B5" i="1"/>
  <c r="G2" i="4" l="1"/>
  <c r="B1"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yoko watanabe</author>
  </authors>
  <commentList>
    <comment ref="H11" authorId="0" shapeId="0" xr:uid="{C2DB2759-673A-E44A-A40E-0C0E627156AA}">
      <text>
        <r>
          <rPr>
            <sz val="10"/>
            <color rgb="FF000000"/>
            <rFont val="Meiryo UI"/>
            <family val="2"/>
            <charset val="128"/>
          </rPr>
          <t>データ型の</t>
        </r>
        <r>
          <rPr>
            <sz val="10"/>
            <color rgb="FF000000"/>
            <rFont val="Meiryo UI"/>
            <family val="2"/>
            <charset val="128"/>
          </rPr>
          <t>(M)</t>
        </r>
        <r>
          <rPr>
            <sz val="10"/>
            <color rgb="FF000000"/>
            <rFont val="Meiryo UI"/>
            <family val="2"/>
            <charset val="128"/>
          </rPr>
          <t>に対する数値を入力します。</t>
        </r>
        <r>
          <rPr>
            <sz val="10"/>
            <color rgb="FF000000"/>
            <rFont val="Meiryo UI"/>
            <family val="2"/>
            <charset val="128"/>
          </rPr>
          <t xml:space="preserve">
</t>
        </r>
        <r>
          <rPr>
            <sz val="10"/>
            <color rgb="FF000000"/>
            <rFont val="Meiryo UI"/>
            <family val="2"/>
            <charset val="128"/>
          </rPr>
          <t>※(M)</t>
        </r>
        <r>
          <rPr>
            <sz val="10"/>
            <color rgb="FF000000"/>
            <rFont val="Meiryo UI"/>
            <family val="2"/>
            <charset val="128"/>
          </rPr>
          <t>については、「型」シートを参照</t>
        </r>
        <r>
          <rPr>
            <sz val="10"/>
            <color rgb="FF000000"/>
            <rFont val="Meiryo UI"/>
            <family val="2"/>
            <charset val="128"/>
          </rPr>
          <t xml:space="preserve">
</t>
        </r>
        <r>
          <rPr>
            <sz val="10"/>
            <color rgb="FF000000"/>
            <rFont val="Meiryo UI"/>
            <family val="2"/>
            <charset val="128"/>
          </rPr>
          <t>※</t>
        </r>
        <r>
          <rPr>
            <sz val="10"/>
            <color rgb="FF000000"/>
            <rFont val="Meiryo UI"/>
            <family val="2"/>
            <charset val="128"/>
          </rPr>
          <t>非該当のケースは、ブランク（値なし）を設定</t>
        </r>
      </text>
    </comment>
    <comment ref="I11" authorId="0" shapeId="0" xr:uid="{19D2F2B8-2E8E-FE4D-8E30-67E5C22A8516}">
      <text>
        <r>
          <rPr>
            <sz val="10"/>
            <color rgb="FF000000"/>
            <rFont val="Meiryo UI"/>
            <family val="2"/>
            <charset val="128"/>
          </rPr>
          <t>データ型の</t>
        </r>
        <r>
          <rPr>
            <sz val="10"/>
            <color rgb="FF000000"/>
            <rFont val="Meiryo UI"/>
            <family val="2"/>
            <charset val="128"/>
          </rPr>
          <t>(D)</t>
        </r>
        <r>
          <rPr>
            <sz val="10"/>
            <color rgb="FF000000"/>
            <rFont val="Meiryo UI"/>
            <family val="2"/>
            <charset val="128"/>
          </rPr>
          <t>に対する数値を入力します。</t>
        </r>
        <r>
          <rPr>
            <sz val="10"/>
            <color rgb="FF000000"/>
            <rFont val="Meiryo UI"/>
            <family val="2"/>
            <charset val="128"/>
          </rPr>
          <t xml:space="preserve">
</t>
        </r>
        <r>
          <rPr>
            <sz val="10"/>
            <color rgb="FF000000"/>
            <rFont val="Meiryo UI"/>
            <family val="2"/>
            <charset val="128"/>
          </rPr>
          <t>※(D)</t>
        </r>
        <r>
          <rPr>
            <sz val="10"/>
            <color rgb="FF000000"/>
            <rFont val="Meiryo UI"/>
            <family val="2"/>
            <charset val="128"/>
          </rPr>
          <t>については、「型」シートを参照</t>
        </r>
        <r>
          <rPr>
            <sz val="10"/>
            <color rgb="FF000000"/>
            <rFont val="Meiryo UI"/>
            <family val="2"/>
            <charset val="128"/>
          </rPr>
          <t xml:space="preserve">
</t>
        </r>
        <r>
          <rPr>
            <sz val="10"/>
            <color rgb="FF000000"/>
            <rFont val="Meiryo UI"/>
            <family val="2"/>
            <charset val="128"/>
          </rPr>
          <t>※</t>
        </r>
        <r>
          <rPr>
            <sz val="10"/>
            <color rgb="FF000000"/>
            <rFont val="Meiryo UI"/>
            <family val="2"/>
            <charset val="128"/>
          </rPr>
          <t>非該当のケースは、ブランク（値なし）を設定</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yoko watanabe</author>
  </authors>
  <commentList>
    <comment ref="B11" authorId="0" shapeId="0" xr:uid="{1616F2FD-20EF-1846-8468-793373730A66}">
      <text>
        <r>
          <rPr>
            <sz val="10"/>
            <color rgb="FF000000"/>
            <rFont val="Yu Gothic UI"/>
            <charset val="128"/>
          </rPr>
          <t>入力不要です。自動で設定されます</t>
        </r>
      </text>
    </comment>
    <comment ref="H11" authorId="0" shapeId="0" xr:uid="{5EA64C2D-098E-9A45-A01F-74C6B0D006C2}">
      <text>
        <r>
          <rPr>
            <sz val="10"/>
            <color rgb="FF000000"/>
            <rFont val="Meiryo UI"/>
            <family val="2"/>
            <charset val="128"/>
          </rPr>
          <t>データ型の</t>
        </r>
        <r>
          <rPr>
            <sz val="10"/>
            <color rgb="FF000000"/>
            <rFont val="Meiryo UI"/>
            <family val="2"/>
            <charset val="128"/>
          </rPr>
          <t>(M)</t>
        </r>
        <r>
          <rPr>
            <sz val="10"/>
            <color rgb="FF000000"/>
            <rFont val="Meiryo UI"/>
            <family val="2"/>
            <charset val="128"/>
          </rPr>
          <t>に対する数値を入力します。</t>
        </r>
        <r>
          <rPr>
            <sz val="10"/>
            <color rgb="FF000000"/>
            <rFont val="Meiryo UI"/>
            <family val="2"/>
            <charset val="128"/>
          </rPr>
          <t xml:space="preserve">
</t>
        </r>
        <r>
          <rPr>
            <sz val="10"/>
            <color rgb="FF000000"/>
            <rFont val="Meiryo UI"/>
            <family val="2"/>
            <charset val="128"/>
          </rPr>
          <t>※(M)</t>
        </r>
        <r>
          <rPr>
            <sz val="10"/>
            <color rgb="FF000000"/>
            <rFont val="Meiryo UI"/>
            <family val="2"/>
            <charset val="128"/>
          </rPr>
          <t>については、「型」シートを参照</t>
        </r>
        <r>
          <rPr>
            <sz val="10"/>
            <color rgb="FF000000"/>
            <rFont val="Meiryo UI"/>
            <family val="2"/>
            <charset val="128"/>
          </rPr>
          <t xml:space="preserve">
</t>
        </r>
        <r>
          <rPr>
            <sz val="10"/>
            <color rgb="FF000000"/>
            <rFont val="Meiryo UI"/>
            <family val="2"/>
            <charset val="128"/>
          </rPr>
          <t>※</t>
        </r>
        <r>
          <rPr>
            <sz val="10"/>
            <color rgb="FF000000"/>
            <rFont val="Meiryo UI"/>
            <family val="2"/>
            <charset val="128"/>
          </rPr>
          <t>非該当のケースは、ブランク（値なし）を設定</t>
        </r>
      </text>
    </comment>
    <comment ref="I11" authorId="0" shapeId="0" xr:uid="{87F04F72-82DF-CC43-9972-750C41AD0DF3}">
      <text>
        <r>
          <rPr>
            <sz val="10"/>
            <color rgb="FF000000"/>
            <rFont val="Meiryo UI"/>
            <family val="2"/>
            <charset val="128"/>
          </rPr>
          <t>データ型の</t>
        </r>
        <r>
          <rPr>
            <sz val="10"/>
            <color rgb="FF000000"/>
            <rFont val="Meiryo UI"/>
            <family val="2"/>
            <charset val="128"/>
          </rPr>
          <t>(D)</t>
        </r>
        <r>
          <rPr>
            <sz val="10"/>
            <color rgb="FF000000"/>
            <rFont val="Meiryo UI"/>
            <family val="2"/>
            <charset val="128"/>
          </rPr>
          <t>に対する数値を入力します。</t>
        </r>
        <r>
          <rPr>
            <sz val="10"/>
            <color rgb="FF000000"/>
            <rFont val="Meiryo UI"/>
            <family val="2"/>
            <charset val="128"/>
          </rPr>
          <t xml:space="preserve">
</t>
        </r>
        <r>
          <rPr>
            <sz val="10"/>
            <color rgb="FF000000"/>
            <rFont val="Meiryo UI"/>
            <family val="2"/>
            <charset val="128"/>
          </rPr>
          <t>※(D)</t>
        </r>
        <r>
          <rPr>
            <sz val="10"/>
            <color rgb="FF000000"/>
            <rFont val="Meiryo UI"/>
            <family val="2"/>
            <charset val="128"/>
          </rPr>
          <t>については、「型」シートを参照</t>
        </r>
        <r>
          <rPr>
            <sz val="10"/>
            <color rgb="FF000000"/>
            <rFont val="Meiryo UI"/>
            <family val="2"/>
            <charset val="128"/>
          </rPr>
          <t xml:space="preserve">
</t>
        </r>
        <r>
          <rPr>
            <sz val="10"/>
            <color rgb="FF000000"/>
            <rFont val="Meiryo UI"/>
            <family val="2"/>
            <charset val="128"/>
          </rPr>
          <t>※</t>
        </r>
        <r>
          <rPr>
            <sz val="10"/>
            <color rgb="FF000000"/>
            <rFont val="Meiryo UI"/>
            <family val="2"/>
            <charset val="128"/>
          </rPr>
          <t>非該当のケースは、ブランク（値なし）を設定</t>
        </r>
      </text>
    </comment>
  </commentList>
</comments>
</file>

<file path=xl/sharedStrings.xml><?xml version="1.0" encoding="utf-8"?>
<sst xmlns="http://schemas.openxmlformats.org/spreadsheetml/2006/main" count="787" uniqueCount="545">
  <si>
    <t>Excel</t>
    <phoneticPr fontId="1"/>
  </si>
  <si>
    <t>ツール改版履歴</t>
  </si>
  <si>
    <t>版</t>
  </si>
  <si>
    <t>更新日</t>
  </si>
  <si>
    <t>更新者</t>
  </si>
  <si>
    <t>更新内容</t>
  </si>
  <si>
    <t>No</t>
    <phoneticPr fontId="1"/>
  </si>
  <si>
    <t>作成者</t>
    <phoneticPr fontId="1"/>
  </si>
  <si>
    <t>M は整数型の最大表示幅を示します。最大表示幅は 255 です。セクション11.2「数値型」で説明しているように、表示幅はその型に含めることができる値の範囲とは関係ありません。浮動小数点型と固定小数点型の場合、M は格納可能な桁数の合計です。</t>
  </si>
  <si>
    <t>数値カラムに対して ZEROFILL を指定すると、MySQL は自動的にそのカラムに UNSIGNED 属性を追加します。</t>
  </si>
  <si>
    <t>UNSIGNED 属性を許可している数値データ型は、SIGNED も許可します。ただし、このデータ型はデフォルトで符号付きになっているため、SIGNED 属性を指定しても効果はありません。</t>
  </si>
  <si>
    <t>SERIAL は BIGINT UNSIGNED NOT NULL AUTO_INCREMENT UNIQUE のエイリアスです。</t>
  </si>
  <si>
    <t>整数カラム定義の中の SERIAL DEFAULT VALUE は NOT NULL AUTO_INCREMENT UNIQUE のエイリアスです。</t>
  </si>
  <si>
    <t>型</t>
  </si>
  <si>
    <t>型（表示名）</t>
  </si>
  <si>
    <t>説明</t>
  </si>
  <si>
    <t>数値型</t>
  </si>
  <si>
    <t>○</t>
    <phoneticPr fontId="1"/>
  </si>
  <si>
    <r>
      <t>BIT[(</t>
    </r>
    <r>
      <rPr>
        <b/>
        <i/>
        <sz val="12"/>
        <color rgb="FF000000"/>
        <rFont val="メイリオ"/>
        <family val="2"/>
        <charset val="128"/>
      </rPr>
      <t>M</t>
    </r>
    <r>
      <rPr>
        <sz val="13"/>
        <color rgb="FF000000"/>
        <rFont val="メイリオ"/>
        <family val="2"/>
        <charset val="128"/>
      </rPr>
      <t>)]</t>
    </r>
  </si>
  <si>
    <t>BOOLEAN</t>
    <phoneticPr fontId="1"/>
  </si>
  <si>
    <t>これらの型は TINYINT(1) のシノニムです。ゼロの値は false と見なされます。ゼロ以外の値は true と見なされます。ただし、ここに示されているように、TRUE 値と FALSE 値はそれぞれ、1 と 0 の単なるエイリアスです。</t>
    <phoneticPr fontId="1"/>
  </si>
  <si>
    <t>INT[(M)]</t>
    <phoneticPr fontId="1"/>
  </si>
  <si>
    <t>ー</t>
    <phoneticPr fontId="1"/>
  </si>
  <si>
    <r>
      <t>INTEGER[(</t>
    </r>
    <r>
      <rPr>
        <b/>
        <i/>
        <sz val="12"/>
        <color rgb="FF000000"/>
        <rFont val="メイリオ"/>
        <family val="2"/>
        <charset val="128"/>
      </rPr>
      <t>M</t>
    </r>
    <r>
      <rPr>
        <sz val="13"/>
        <color rgb="FF000000"/>
        <rFont val="メイリオ"/>
        <family val="2"/>
        <charset val="128"/>
      </rPr>
      <t>)] [UNSIGNED] [ZEROFILL]</t>
    </r>
  </si>
  <si>
    <t>DEC[(M[,D])] [UNSIGNED] [ZEROFILL]
, NUMERIC[(M[,D])] [UNSIGNED] [ZEROFILL]
, FIXED[(M[,D])] [UNSIGNED] [ZEROFILL]</t>
    <phoneticPr fontId="1"/>
  </si>
  <si>
    <t>これらの型は DECIMAL のシノニムです。FIXED シノニムは、ほかのデータベースシステムとの互換性のために使用できます。</t>
    <phoneticPr fontId="1"/>
  </si>
  <si>
    <r>
      <t>FLOAT[(</t>
    </r>
    <r>
      <rPr>
        <b/>
        <i/>
        <sz val="12"/>
        <color rgb="FF000000"/>
        <rFont val="メイリオ"/>
        <family val="2"/>
        <charset val="128"/>
      </rPr>
      <t>M</t>
    </r>
    <r>
      <rPr>
        <sz val="13"/>
        <color rgb="FF000000"/>
        <rFont val="メイリオ"/>
        <family val="2"/>
        <charset val="128"/>
      </rPr>
      <t>,</t>
    </r>
    <r>
      <rPr>
        <b/>
        <i/>
        <sz val="12"/>
        <color rgb="FF000000"/>
        <rFont val="メイリオ"/>
        <family val="2"/>
        <charset val="128"/>
      </rPr>
      <t>D</t>
    </r>
    <r>
      <rPr>
        <sz val="13"/>
        <color rgb="FF000000"/>
        <rFont val="メイリオ"/>
        <family val="2"/>
        <charset val="128"/>
      </rPr>
      <t>)] [UNSIGNED] [ZEROFILL]</t>
    </r>
  </si>
  <si>
    <r>
      <t xml:space="preserve">小さい (単精度) 浮動小数点数。許可される値は、-3.402823466E+38 から -1.175494351E-38、0、および 1.175494351E-38 から 3.402823466E+38 です。これらは、IEEE スタンダードに基づいた理論的な限度です。使用しているハードウェアまたはオペレーティングシステムによっては、実際の範囲は少し小さくなる場合があります。
M は桁数の合計で、D は小数点以下の桁数です。M と D を省略した場合、値はハードウェアで許可された限度まで格納されます。単精度小数点数はおおよそ小数第 7 位まで正確です。
UNSIGNED が指定されている場合、負の値は許可されません。
</t>
    </r>
    <r>
      <rPr>
        <b/>
        <sz val="12"/>
        <color rgb="FFFF0000"/>
        <rFont val="メイリオ"/>
        <family val="2"/>
        <charset val="128"/>
      </rPr>
      <t>MySQL ではすべての計算が倍精度で行われているので、FLOAT を使用すると、予想外の問題が起きることがあります。セクションB.5.5.7「一致する行がない場合の問題の解決」を参照してください。</t>
    </r>
    <phoneticPr fontId="1"/>
  </si>
  <si>
    <t>DOUBLE PRECISION[(M,D)] [UNSIGNED] [ZEROFILL], REAL[(M,D)] [UNSIGNED] [ZEROFILL]</t>
    <phoneticPr fontId="1"/>
  </si>
  <si>
    <t>これらの型は DOUBLE のシノニムです。例外: REAL_AS_FLOAT SQL モードが有効な場合は、DOUBLE ではなく REAL が FLOAT のシノニムになります。</t>
    <phoneticPr fontId="1"/>
  </si>
  <si>
    <t>FLOAT(p) [UNSIGNED] [ZEROFILL]</t>
  </si>
  <si>
    <r>
      <t xml:space="preserve">浮動小数点数です。p は精度をビットで表現しますが、MySQL は、結果として得られるデータ型に対して FLOAT または DOUBLE のどちらを使用するかを決めるためだけにこの値を使用します。p が 0 から 24 のとき、そのデータ型は M 値も D 値もない FLOAT になります。p が 25 から 53 のとき、そのデータ型は M 値も D 値もない DOUBLE になります。結果となるカラムの範囲は、このセクションで前述した単精度 FLOAT または倍精度 DOUBLE データ型の場合と同じです。
</t>
    </r>
    <r>
      <rPr>
        <b/>
        <sz val="12"/>
        <color rgb="FFFF0000"/>
        <rFont val="メイリオ"/>
        <family val="2"/>
        <charset val="128"/>
      </rPr>
      <t>FLOAT(p) 構文は ODBC との互換性を確保するために用意されています。</t>
    </r>
    <phoneticPr fontId="1"/>
  </si>
  <si>
    <t>DATE</t>
  </si>
  <si>
    <t>日付と時間の組み合わせです。サポートしている範囲は '1000-01-01 00:00:00.000000' から '9999-12-31 23:59:59.999999' です。MySQL は、'YYYY-MM-DD HH:MM:SS[.fraction]' の形式で DATETIME 値を表示しますが、文字列または数値のどちらかを使用した DATETIME カラムへの値の割り当てを許可しています。
MySQL 5.6.4 以降では、小数秒の精度を指定するために 0 から 6 の範囲でオプションの fsp 値を指定できます。0 の値は、小数部がないことを表します。省略した場合、デフォルトの精度は 0 です。
MySQL 5.6.5 以降、DATETIME カラムに対する自動初期化および現在の日時への自動更新は、セクション11.3.5「TIMESTAMP および DATETIME の自動初期化および更新機能」で説明しているように、DEFAULT および ON UPDATE カラム定義句を使用して指定できます。</t>
    <phoneticPr fontId="1"/>
  </si>
  <si>
    <r>
      <t>TIMESTAMP[(</t>
    </r>
    <r>
      <rPr>
        <b/>
        <i/>
        <sz val="12"/>
        <color rgb="FF000000"/>
        <rFont val="メイリオ"/>
        <family val="2"/>
        <charset val="128"/>
      </rPr>
      <t>fsp</t>
    </r>
    <r>
      <rPr>
        <sz val="13"/>
        <color rgb="FF000000"/>
        <rFont val="メイリオ"/>
        <family val="2"/>
        <charset val="128"/>
      </rPr>
      <t>)]</t>
    </r>
    <phoneticPr fontId="1"/>
  </si>
  <si>
    <t>タイムスタンプです。範囲は '1970-01-01 00:00:01.000000' UTC から '2038-01-19 03:14:07.999999' UTC です。TIMESTAMP 値は、エポック ('1970-01-01 00:00:00' UTC) からの秒数として格納されます。TIMESTAMP は、'1970-01-01 00:00:00' という値を表すことはできません。これは、エポックからの秒数が 0 であることと同等で、0 という値は '0000-00-00 00:00:00'、つまり「ゼロ」の TIMESTAMP 値を表すために予約されているからです。
MySQL 5.6.4 以降では、小数秒の精度を指定するために 0 から 6 の範囲でオプションの fsp 値を指定できます。0 の値は、小数部がないことを表します。省略した場合、デフォルトの精度は 0 です。
サーバーで TIMESTAMP 定義をどのように扱うかは、explicit_defaults_for_timestamp システム変数の値によって異なります (セクション5.1.4「サーバーシステム変数」を参照してください)。デフォルトでは、explicit_defaults_for_timestamp は無効であり、サーバーは次のように TIMESTAMP を扱います。
特に指定されていないかぎり、テーブル内の最初の TIMESTAMP カラムは、明示的に値が割り当てられていなければもっとも新しい変更の日時に自動的に設定されるように定義されています。これにより、TIMESTAMP は、INSERT または UPDATE 操作のタイムスタンプの記録に役立ちます。NULL 値を許可するように NULL 属性で定義されていないかぎり、NULL 値を割り当てることによって、すべての TIMESTAMP カラムを現在の日付と時間に設定することもできます。
自動初期化および現在の日付と時間への自動更新は、DEFAULT CURRENT_TIMESTAMP および ON UPDATE CURRENT_TIMESTAMP カラム定義句を使用して指定できます。デフォルトでは、前述のように最初の TIMESTAMP カラムにこれらのプロパティーが含まれます。MySQL 5.6.5 以降では、テーブル内のどの TIMESTAMP カラムでもこれらのプロパティーを割り当てるように定義できます。5.6.5 より前では、これらを割り当てられる TIMESTAMP カラムはテーブルごとに最大 1 つにかぎられますが、最初のカラムでは抑制し、代わりに別の TIMESTAMP カラムに割り当てることが可能です。セクション11.3.5「TIMESTAMP および DATETIME の自動初期化および更新機能」を参照してください。
explicit_defaults_for_timestamp が有効な場合、すべての TIMESTAMP カラムへの DEFAULT CURRENT_TIMESTAMP または ON UPDATE CURRENT_TIMESTAMP 属性の自動的な割り当ては行われません。これらはカラム定義に明示的に含める必要があります。また、NOT NULL として明示的に宣言されていないすべての TIMESTAMP は、NULL 値を許可します。
explicit_defaults_for_timestamp は、MySQL 5.6.6 以降で使用できます。5.6.6 より前では、サーバーは、explicit_defaults_for_timestamp が無効の場合について説明したように TIMESTAMP を扱います。これらの動作は、デフォルトのままになっていますが、標準外であり、5.6.6 以降では非推奨です。explicit_defaults_for_timestamp を有効化したインストールのアップグレードに関する説明については、セクション2.11.1.3「MySQL 5.5 から 5.6 へのアップグレード」を参照してください。</t>
    <phoneticPr fontId="1"/>
  </si>
  <si>
    <t>TIME[(fsp)]</t>
    <phoneticPr fontId="1"/>
  </si>
  <si>
    <t>時間です。範囲は、'-838:59:59.000000' から '838:59:59.000000' です。MySQL は、'HH:MM:SS[.fraction]' 形式で TIME 値を表示しますが、文字列または数値のどちらかを使用した TIME カラムの値への割り当てを許可します。
MySQL 5.6.4 以降では、小数秒の精度を指定するために 0 から 6 の範囲でオプションの fsp 値を指定できます。0 の値は、小数部がないことを表します。省略した場合、デフォルトの精度は 0 です。</t>
    <phoneticPr fontId="1"/>
  </si>
  <si>
    <t>YEAR[(4)]</t>
    <phoneticPr fontId="1"/>
  </si>
  <si>
    <t>2 桁または 4 桁の形式の年です。デフォルトは 4 桁の形式です。YEAR(2) と YEAR(4) は表示形式が違いますが、値の範囲は同じです。4 桁の形式では、値は 1901 から 2155 と 0000 として表示されます。2 桁の形式では、値は 70 から 69 として表示され、1970 から 2069 の年を表します。MySQL では、YEAR 値は YYYY または YY の形式で表示されますが、文字列または数値を使用して YEAR カラムに値を割り当てられます。</t>
    <phoneticPr fontId="1"/>
  </si>
  <si>
    <t>YEAR[(2)]</t>
    <phoneticPr fontId="1"/>
  </si>
  <si>
    <t>文字列型</t>
  </si>
  <si>
    <t>格納時に必ず、指定された長さになるように右側がスペースで埋められる固定長文字列です。M はカラムの長さを文字数で表します。M の範囲は 0 から 255 です。M を省略すると、長さは 1 になります。</t>
    <phoneticPr fontId="1"/>
  </si>
  <si>
    <t xml:space="preserve">可変長文字列です。M はカラムの最大長を文字数で表します。M の範囲は 0 から 65,535 です。VARCHAR の有効な最大長は、最大行サイズ (65,535 バイト、すべてのカラムで共有されます) と使用される文字セットによって決まります。たとえば、utf8 の文字は 1 文字につき最大 3 バイトを必要とする場合があるため、utf8 の文字セットを使用する VARCHAR カラムは、最大 21,844 文字になるように宣言できます。セクションD.10.4「テーブルカラム数と行サイズの制限」を参照してください。
MySQL は、VARCHAR 値を 1 バイトまたは 2 バイト長のプリフィクスが付いたデータとして格納します。長さプリフィクスは、値に含まれるバイト数を示します。VARCHAR カラムは、格納できる値が 255 バイト以下の場合は 1 バイト長のプリフィクスを使用し、255 バイトより大きい場合は 2 バイト長のプリフィクスを使用します。
</t>
    <phoneticPr fontId="1"/>
  </si>
  <si>
    <r>
      <t>BINARY(</t>
    </r>
    <r>
      <rPr>
        <b/>
        <i/>
        <sz val="12"/>
        <color rgb="FF000000"/>
        <rFont val="メイリオ"/>
        <family val="2"/>
        <charset val="128"/>
      </rPr>
      <t>M</t>
    </r>
    <r>
      <rPr>
        <sz val="13"/>
        <color rgb="FF000000"/>
        <rFont val="メイリオ"/>
        <family val="2"/>
        <charset val="128"/>
      </rPr>
      <t>)</t>
    </r>
  </si>
  <si>
    <t>BINARY 型は CHAR 型と似ていますが、非バイナリ文字列ではなく、バイナリバイト文字列を格納します。M はカラムの長さをバイト数で表します。</t>
    <phoneticPr fontId="1"/>
  </si>
  <si>
    <r>
      <t>VARBINARY(</t>
    </r>
    <r>
      <rPr>
        <b/>
        <i/>
        <sz val="12"/>
        <color rgb="FF000000"/>
        <rFont val="メイリオ"/>
        <family val="2"/>
        <charset val="128"/>
      </rPr>
      <t>M</t>
    </r>
    <r>
      <rPr>
        <sz val="13"/>
        <color rgb="FF000000"/>
        <rFont val="メイリオ"/>
        <family val="2"/>
        <charset val="128"/>
      </rPr>
      <t>)</t>
    </r>
  </si>
  <si>
    <t>VARBINARY 型は VARCHAR 型と似ていますが、非バイナリ文字列ではなく、バイナリバイト文字列を格納します。M はカラムの最大の長さをバイト数で表します。</t>
    <phoneticPr fontId="1"/>
  </si>
  <si>
    <t>TINYBLOB</t>
  </si>
  <si>
    <t>最大長が 255 (2^8 − 1) バイトの BLOB カラム。各 TINYBLOB 値は、値のバイト数を示す 1 バイト長のプリフィクスを使用して格納されます。</t>
    <phoneticPr fontId="1"/>
  </si>
  <si>
    <t>最大長が 255 (2^8 − 1) 文字の TEXT カラム。値にマルチバイト文字が含まれる場合、有効な最大長は少なくなります。各 TINYTEXT 値は、値のバイト数を示す 1 バイト長のプリフィクスを使用して格納されます。</t>
    <phoneticPr fontId="1"/>
  </si>
  <si>
    <r>
      <t>BLOB[(</t>
    </r>
    <r>
      <rPr>
        <b/>
        <i/>
        <sz val="12"/>
        <color rgb="FF000000"/>
        <rFont val="メイリオ"/>
        <family val="2"/>
        <charset val="128"/>
      </rPr>
      <t>M</t>
    </r>
    <r>
      <rPr>
        <sz val="13"/>
        <color rgb="FF000000"/>
        <rFont val="メイリオ"/>
        <family val="2"/>
        <charset val="128"/>
      </rPr>
      <t>)]</t>
    </r>
  </si>
  <si>
    <r>
      <t>TEXT[(</t>
    </r>
    <r>
      <rPr>
        <b/>
        <i/>
        <sz val="12"/>
        <color rgb="FF000000"/>
        <rFont val="メイリオ"/>
        <family val="2"/>
        <charset val="128"/>
      </rPr>
      <t>M</t>
    </r>
    <r>
      <rPr>
        <sz val="13"/>
        <color rgb="FF000000"/>
        <rFont val="メイリオ"/>
        <family val="2"/>
        <charset val="128"/>
      </rPr>
      <t>)] [CHARACTER SET </t>
    </r>
    <r>
      <rPr>
        <b/>
        <i/>
        <sz val="12"/>
        <color rgb="FF000000"/>
        <rFont val="メイリオ"/>
        <family val="2"/>
        <charset val="128"/>
      </rPr>
      <t>charset_name</t>
    </r>
    <r>
      <rPr>
        <sz val="13"/>
        <color rgb="FF000000"/>
        <rFont val="メイリオ"/>
        <family val="2"/>
        <charset val="128"/>
      </rPr>
      <t xml:space="preserve">] [COLLATE </t>
    </r>
    <r>
      <rPr>
        <b/>
        <i/>
        <sz val="12"/>
        <color rgb="FF000000"/>
        <rFont val="メイリオ"/>
        <family val="2"/>
        <charset val="128"/>
      </rPr>
      <t>collation_name</t>
    </r>
    <r>
      <rPr>
        <sz val="13"/>
        <color rgb="FF000000"/>
        <rFont val="メイリオ"/>
        <family val="2"/>
        <charset val="128"/>
      </rPr>
      <t>]</t>
    </r>
    <phoneticPr fontId="1"/>
  </si>
  <si>
    <t>最大長が 65,535 (2^16 − 1) 文字の TEXT カラム。値にマルチバイト文字が含まれる場合、有効な最大長は少なくなります。各 TEXT 値は、値のバイト数を示す 2 バイト長のプリフィクスを使用して格納されます。
この型には、オプションの長さ M を指定できます。これが行われた場合、MySQL は M 文字の長さの値を保持するのに十分な最小 TEXT 型としてカラムを作成します。</t>
    <phoneticPr fontId="1"/>
  </si>
  <si>
    <t>MEDIUMBLOB</t>
  </si>
  <si>
    <t>最大長が 16,777,215 (2^24 − 1) バイトの BLOB カラム。各 MEDIUMBLOB 値は、値のバイト数を示す 3 バイト長のプリフィクスを使用して格納されます。</t>
    <phoneticPr fontId="1"/>
  </si>
  <si>
    <r>
      <t>MEDIUMTEXT [CHARACTER SET </t>
    </r>
    <r>
      <rPr>
        <b/>
        <i/>
        <sz val="12"/>
        <color rgb="FF000000"/>
        <rFont val="メイリオ"/>
        <family val="2"/>
        <charset val="128"/>
      </rPr>
      <t>charset_name</t>
    </r>
    <r>
      <rPr>
        <sz val="13"/>
        <color rgb="FF000000"/>
        <rFont val="メイリオ"/>
        <family val="2"/>
        <charset val="128"/>
      </rPr>
      <t xml:space="preserve">] [COLLATE </t>
    </r>
    <r>
      <rPr>
        <b/>
        <i/>
        <sz val="12"/>
        <color rgb="FF000000"/>
        <rFont val="メイリオ"/>
        <family val="2"/>
        <charset val="128"/>
      </rPr>
      <t>collation_name</t>
    </r>
    <r>
      <rPr>
        <sz val="13"/>
        <color rgb="FF000000"/>
        <rFont val="メイリオ"/>
        <family val="2"/>
        <charset val="128"/>
      </rPr>
      <t>]</t>
    </r>
    <phoneticPr fontId="1"/>
  </si>
  <si>
    <t>最大長が 16,777,215 (2^24 − 1) 文字の TEXT カラム。値にマルチバイト文字が含まれる場合、有効な最大長は少なくなります。各 MEDIUMTEXT 値は、値のバイト数を示す 3 バイト長のプリフィクスを使用して格納されます。</t>
    <phoneticPr fontId="1"/>
  </si>
  <si>
    <t>LONGBLOB</t>
  </si>
  <si>
    <t>最大長が 4,294,967,295 または 4G バイト (2^32 − 1) バイトの BLOB カラム。LONGBLOB カラムの有効な最大長は、クライアント/サーバープロトコルと使用可能なメモリー内の構成済み最大パケットサイズにより決まります。各 LONGBLOB 値は、値のバイト数を示す 4 バイト長のプリフィクスを使用して格納されます。</t>
    <phoneticPr fontId="1"/>
  </si>
  <si>
    <r>
      <t>LONGTEXT [CHARACTER SET </t>
    </r>
    <r>
      <rPr>
        <b/>
        <i/>
        <sz val="12"/>
        <color rgb="FF000000"/>
        <rFont val="メイリオ"/>
        <family val="2"/>
        <charset val="128"/>
      </rPr>
      <t>charset_name</t>
    </r>
    <r>
      <rPr>
        <sz val="13"/>
        <color rgb="FF000000"/>
        <rFont val="メイリオ"/>
        <family val="2"/>
        <charset val="128"/>
      </rPr>
      <t xml:space="preserve">] [COLLATE </t>
    </r>
    <r>
      <rPr>
        <b/>
        <i/>
        <sz val="12"/>
        <color rgb="FF000000"/>
        <rFont val="メイリオ"/>
        <family val="2"/>
        <charset val="128"/>
      </rPr>
      <t>collation_name</t>
    </r>
    <r>
      <rPr>
        <sz val="13"/>
        <color rgb="FF000000"/>
        <rFont val="メイリオ"/>
        <family val="2"/>
        <charset val="128"/>
      </rPr>
      <t>]</t>
    </r>
    <phoneticPr fontId="1"/>
  </si>
  <si>
    <t>最大長が 4,294,967,295 または 4G バイト (2^32 − 1) 文字の TEXT カラム。値にマルチバイト文字が含まれる場合、有効な最大長は少なくなります。LONGTEXT カラムの有効な最大長もまた、クライアント/サーバープロトコルと使用可能メモリー内の構成済みの最大パケットサイズにより決まります。各 LONGTEXT 値は、値のバイト数を示す 4 バイト長のプリフィクスを使用して格納されます。</t>
    <phoneticPr fontId="1"/>
  </si>
  <si>
    <r>
      <t>ENUM('</t>
    </r>
    <r>
      <rPr>
        <b/>
        <i/>
        <sz val="12"/>
        <color rgb="FF000000"/>
        <rFont val="メイリオ"/>
        <family val="2"/>
        <charset val="128"/>
      </rPr>
      <t>value1</t>
    </r>
    <r>
      <rPr>
        <sz val="13"/>
        <color rgb="FF000000"/>
        <rFont val="メイリオ"/>
        <family val="2"/>
        <charset val="128"/>
      </rPr>
      <t>','</t>
    </r>
    <r>
      <rPr>
        <b/>
        <i/>
        <sz val="12"/>
        <color rgb="FF000000"/>
        <rFont val="メイリオ"/>
        <family val="2"/>
        <charset val="128"/>
      </rPr>
      <t>value2</t>
    </r>
    <r>
      <rPr>
        <sz val="13"/>
        <color rgb="FF000000"/>
        <rFont val="メイリオ"/>
        <family val="2"/>
        <charset val="128"/>
      </rPr>
      <t xml:space="preserve">',...) [CHARACTER SET </t>
    </r>
    <r>
      <rPr>
        <b/>
        <i/>
        <sz val="12"/>
        <color rgb="FF000000"/>
        <rFont val="メイリオ"/>
        <family val="2"/>
        <charset val="128"/>
      </rPr>
      <t>charset_name</t>
    </r>
    <r>
      <rPr>
        <sz val="13"/>
        <color rgb="FF000000"/>
        <rFont val="メイリオ"/>
        <family val="2"/>
        <charset val="128"/>
      </rPr>
      <t>] [COLLATE </t>
    </r>
    <r>
      <rPr>
        <b/>
        <i/>
        <sz val="12"/>
        <color rgb="FF000000"/>
        <rFont val="メイリオ"/>
        <family val="2"/>
        <charset val="128"/>
      </rPr>
      <t>collation_name</t>
    </r>
    <r>
      <rPr>
        <sz val="13"/>
        <color rgb="FF000000"/>
        <rFont val="メイリオ"/>
        <family val="2"/>
        <charset val="128"/>
      </rPr>
      <t>]</t>
    </r>
    <phoneticPr fontId="1"/>
  </si>
  <si>
    <t xml:space="preserve">列挙です。'value1'、'value2'、... の値、NULL、または特殊な '' エラー値のリストから選択された値を 1 つだけを持つことができる文字列オブジェクトです。ENUM 値は、内部では整数として表されます。
ENUM カラムには、最大 65,535 個の個別の要素を含めることができます。(実用的な限度は 3000 個までです。)テーブルには、グループと見なされる ENUM および SET カラムの中の一意の要素リスト定義を、255 個以下を含めることができます。これらの制限の詳細は、セクションD.10.5「.frm ファイル構造により課せられる制限」を参照してください。
</t>
    <phoneticPr fontId="1"/>
  </si>
  <si>
    <t>SET('value1','value2',...) [CHARACTER SET charset_name] [COLLATE collation_name]</t>
    <phoneticPr fontId="1"/>
  </si>
  <si>
    <t>セットです。ゼロ個以上の値を持つことができる文字列オブジェクトであり、そのそれぞれの値は、'value1'、'value2'、... 値のリストから選択する必要があります。SET 値は整数として内部で表されます。
SET カラムには最大 64 個の個別のメンバーを含めることができます。テーブルには、グループと見なされる ENUM および SET カラムの中の一意の要素リスト定義を、255 個以下を含めることができます。この制限の詳細は、セクションD.10.5「.frm ファイル構造により課せられる制限」を参照してください。</t>
    <phoneticPr fontId="1"/>
  </si>
  <si>
    <t>非常に小さい整数。
・符号付きの範囲は -128 から 127 です。
・符号なしの範囲は 0 から 255 です。</t>
    <phoneticPr fontId="1"/>
  </si>
  <si>
    <t>小さい整数。
・符号付きの範囲は -32768 から 32767 です。
・符号なしの範囲は 0 から 65535 です。</t>
    <phoneticPr fontId="1"/>
  </si>
  <si>
    <t>範囲</t>
    <rPh sb="0" eb="2">
      <t>ハンイ</t>
    </rPh>
    <phoneticPr fontId="1"/>
  </si>
  <si>
    <t>ビットフィールド型。
M は、値あたりのビット数 (1 から 64) を表します。M を省略した場合のデフォルトは 1 です。</t>
    <phoneticPr fontId="1"/>
  </si>
  <si>
    <t>M=1〜64（Defalt: M=1）</t>
    <phoneticPr fontId="1"/>
  </si>
  <si>
    <t>SIGNED     = -128 ~ 127
UNSIGNED = 0 ~ 255</t>
    <phoneticPr fontId="1"/>
  </si>
  <si>
    <t>false(=0), true(not 0)</t>
    <phoneticPr fontId="1"/>
  </si>
  <si>
    <t>SIGNED     = -32768 ~ 32767
UNSIGNED = 0 ~ 65535</t>
    <phoneticPr fontId="1"/>
  </si>
  <si>
    <t>中間サイズの整数。
・符号付きの範囲は -8388608 から 8388607 です。
・符号なしの範囲は 0 から 16777215 です。</t>
    <phoneticPr fontId="1"/>
  </si>
  <si>
    <t xml:space="preserve">SIGNED     =  -8388608 ~ 8388607 
UNSIGNED = 0 〜 16777215 </t>
    <phoneticPr fontId="1"/>
  </si>
  <si>
    <r>
      <t>SMALLINT[(</t>
    </r>
    <r>
      <rPr>
        <b/>
        <i/>
        <sz val="12"/>
        <color rgb="FF000000"/>
        <rFont val="メイリオ"/>
        <family val="2"/>
        <charset val="128"/>
      </rPr>
      <t>M</t>
    </r>
    <r>
      <rPr>
        <sz val="13"/>
        <color rgb="FF000000"/>
        <rFont val="メイリオ"/>
        <family val="2"/>
        <charset val="128"/>
      </rPr>
      <t xml:space="preserve">)] </t>
    </r>
    <r>
      <rPr>
        <b/>
        <sz val="13"/>
        <color rgb="FF0070C0"/>
        <rFont val="メイリオ"/>
        <family val="2"/>
        <charset val="128"/>
      </rPr>
      <t>[UNSIGNED] [ZEROFILL]</t>
    </r>
    <phoneticPr fontId="1"/>
  </si>
  <si>
    <r>
      <t>TINYINT[(</t>
    </r>
    <r>
      <rPr>
        <b/>
        <i/>
        <sz val="12"/>
        <color rgb="FF000000"/>
        <rFont val="メイリオ"/>
        <family val="2"/>
        <charset val="128"/>
      </rPr>
      <t>M</t>
    </r>
    <r>
      <rPr>
        <sz val="13"/>
        <color rgb="FF000000"/>
        <rFont val="メイリオ"/>
        <family val="2"/>
        <charset val="128"/>
      </rPr>
      <t xml:space="preserve">)] </t>
    </r>
    <r>
      <rPr>
        <b/>
        <sz val="13"/>
        <color rgb="FF0070C0"/>
        <rFont val="メイリオ"/>
        <family val="2"/>
        <charset val="128"/>
      </rPr>
      <t>[UNSIGNED] [ZEROFILL]</t>
    </r>
    <phoneticPr fontId="1"/>
  </si>
  <si>
    <r>
      <t xml:space="preserve">INT[(M)] </t>
    </r>
    <r>
      <rPr>
        <b/>
        <sz val="12"/>
        <color rgb="FF0070C0"/>
        <rFont val="メイリオ"/>
        <family val="2"/>
        <charset val="128"/>
      </rPr>
      <t>[UNSIGNED] [ZEROFILL]</t>
    </r>
    <phoneticPr fontId="1"/>
  </si>
  <si>
    <r>
      <t>MEDIUMINT[(</t>
    </r>
    <r>
      <rPr>
        <b/>
        <i/>
        <sz val="12"/>
        <color rgb="FF000000"/>
        <rFont val="メイリオ"/>
        <family val="2"/>
        <charset val="128"/>
      </rPr>
      <t>M</t>
    </r>
    <r>
      <rPr>
        <sz val="13"/>
        <color rgb="FF000000"/>
        <rFont val="メイリオ"/>
        <family val="2"/>
        <charset val="128"/>
      </rPr>
      <t xml:space="preserve">)] </t>
    </r>
    <r>
      <rPr>
        <b/>
        <sz val="13"/>
        <color rgb="FF0070C0"/>
        <rFont val="メイリオ"/>
        <family val="2"/>
        <charset val="128"/>
      </rPr>
      <t>[UNSIGNED] [ZEROFILL]</t>
    </r>
    <phoneticPr fontId="1"/>
  </si>
  <si>
    <t>普通サイズの整数。
・符号付きの範囲は -2147483648 から 2147483647 です。
・符号なしの範囲は 0 から 4294967295 です。</t>
    <phoneticPr fontId="1"/>
  </si>
  <si>
    <t>SIGNED = -2147483648 〜 2147483647
UNSIGNED = 0 〜 4294967295</t>
    <phoneticPr fontId="1"/>
  </si>
  <si>
    <t>大きい整数。
・符号付きの範囲は -9223372036854775808 から 9223372036854775807 です。
・符号なしの範囲は 0 から 18446744073709551615 です。</t>
    <phoneticPr fontId="1"/>
  </si>
  <si>
    <t>SIGNED =  -9223372036854775808  〜  9223372036854775807 
UNSIGNED = 0 〜 18446744073709551615</t>
    <phoneticPr fontId="1"/>
  </si>
  <si>
    <t>この型は INT のシノニムです。
・符号付きの範囲は -2147483648 から 2147483647 です。
・符号なしの範囲は 0 から 4294967295 です。</t>
    <phoneticPr fontId="1"/>
  </si>
  <si>
    <t>BIGINT AUTO_INCREMENT</t>
    <phoneticPr fontId="1"/>
  </si>
  <si>
    <t>大きい整数。※符号無しのオートインクリメント</t>
    <rPh sb="7" eb="10">
      <t>フゴウナシノ</t>
    </rPh>
    <phoneticPr fontId="1"/>
  </si>
  <si>
    <t>UNSIGNED = 0 〜 18446744073709551615</t>
    <phoneticPr fontId="1"/>
  </si>
  <si>
    <t>注釈）</t>
    <rPh sb="0" eb="2">
      <t>チュウシャク</t>
    </rPh>
    <phoneticPr fontId="1"/>
  </si>
  <si>
    <t>　Data Types</t>
    <phoneticPr fontId="1"/>
  </si>
  <si>
    <t>ツールで使用可能な型は、対象（C列）に「○」とマルがついているものになります。
○ではなく「ー」となっている型は、今回対象外としています。もし必要であれば、用途に応じてプログラムの改修をする必要があります。ご自由にプログラムを変更していただいて構いませんが、コードの変更をされた場合はサポート対象外とさせていただきますので、あらかじめご了承ください。</t>
    <rPh sb="4" eb="6">
      <t>シヨウ</t>
    </rPh>
    <rPh sb="6" eb="8">
      <t>カノウ</t>
    </rPh>
    <rPh sb="9" eb="10">
      <t>カタ</t>
    </rPh>
    <rPh sb="12" eb="14">
      <t>タイショウ</t>
    </rPh>
    <rPh sb="16" eb="17">
      <t>レツ</t>
    </rPh>
    <rPh sb="54" eb="55">
      <t>カタ</t>
    </rPh>
    <rPh sb="57" eb="58">
      <t>コンカイノ</t>
    </rPh>
    <rPh sb="59" eb="61">
      <t>タイショウガイ</t>
    </rPh>
    <rPh sb="68" eb="69">
      <t>リヨウ</t>
    </rPh>
    <rPh sb="71" eb="73">
      <t>ヒツヨウデアレバ</t>
    </rPh>
    <rPh sb="82" eb="84">
      <t>ツイカ</t>
    </rPh>
    <rPh sb="90" eb="92">
      <t>カイシュウ</t>
    </rPh>
    <rPh sb="95" eb="97">
      <t>ヒツヨウガアリマス</t>
    </rPh>
    <rPh sb="113" eb="115">
      <t>ヘンコウ</t>
    </rPh>
    <rPh sb="133" eb="135">
      <t>ヘンコウヲ</t>
    </rPh>
    <rPh sb="146" eb="149">
      <t>タイショウガイ</t>
    </rPh>
    <phoneticPr fontId="1"/>
  </si>
  <si>
    <t>パックされた「正確な」固定小数点数。
・M は桁数の合計 (精度) で、D は小数点以下の桁数 (スケール) です。
・小数点と、負の数に対する「-」の記号は M にはカウントされません。
・D が 0 のときは、小数点や小数部はありません。DECIMAL の最大桁数 (M) は 65 です。サポートされる小数部の最大桁数 (D) は 30 です。D が省略された場合のデフォルトは 0 です。M が省略された場合のデフォルトは 10 です。</t>
    <phoneticPr fontId="1"/>
  </si>
  <si>
    <t>D桁数の合計 (Max:M = 65, Defalt: M=10）
小数部の桁数 (Max:D = 30, Defalt: D=0）</t>
    <rPh sb="1" eb="3">
      <t>ケタスウ</t>
    </rPh>
    <rPh sb="4" eb="6">
      <t>ゴウケイ</t>
    </rPh>
    <phoneticPr fontId="1"/>
  </si>
  <si>
    <r>
      <t>BIGINT[(</t>
    </r>
    <r>
      <rPr>
        <b/>
        <i/>
        <sz val="12"/>
        <color rgb="FF000000"/>
        <rFont val="メイリオ"/>
        <family val="2"/>
        <charset val="128"/>
      </rPr>
      <t>M</t>
    </r>
    <r>
      <rPr>
        <sz val="13"/>
        <color rgb="FF000000"/>
        <rFont val="メイリオ"/>
        <family val="2"/>
        <charset val="128"/>
      </rPr>
      <t xml:space="preserve">)] </t>
    </r>
    <r>
      <rPr>
        <b/>
        <sz val="13"/>
        <color rgb="FF0070C0"/>
        <rFont val="メイリオ"/>
        <family val="2"/>
        <charset val="128"/>
      </rPr>
      <t>[UNSIGNED] [ZEROFILL]</t>
    </r>
    <phoneticPr fontId="1"/>
  </si>
  <si>
    <r>
      <t xml:space="preserve">DECIMAL[(M[,D])] </t>
    </r>
    <r>
      <rPr>
        <b/>
        <sz val="12"/>
        <color rgb="FF0070C0"/>
        <rFont val="メイリオ"/>
        <family val="2"/>
        <charset val="128"/>
      </rPr>
      <t>[UNSIGNED] [ZEROFILL]</t>
    </r>
    <phoneticPr fontId="1"/>
  </si>
  <si>
    <t>普通サイズ (倍精度) の浮動小数点数。
・許可されている値は、-1.7976931348623157E+308 から -2.2250738585072014E-308、0、および 2.2250738585072014E-308 から 1.7976931348623157E+308 です。これらは、IEEE スタンダードに基づいた理論的な限度です。使用しているハードウェアまたはオペレーティングシステムによっては、実際の範囲は少し小さくなる場合があります。
・M は桁数の合計で、D は小数点以下の桁数です。
・M と D を省略した場合、値はハードウェアで許可された限度まで格納されます。
・倍精度小数点数はおおよそ小数第 15 位まで正確です。
・UNSIGNED が指定されている場合、負の値は許可されません。</t>
    <phoneticPr fontId="1"/>
  </si>
  <si>
    <t xml:space="preserve">SIGNED = -1.7976931348623157E+308  〜 -2.2250738585072014E-308, 0, 2.2250738585072014E-308  〜 1.7976931348623157E+308 
UNSIGNED =0, 2.2250738585072014E-308  〜 1.7976931348623157E+308
(D &lt;= 15) </t>
    <phoneticPr fontId="1"/>
  </si>
  <si>
    <t>memo</t>
    <phoneticPr fontId="1"/>
  </si>
  <si>
    <t>日付です。サポートしている範囲は '1000-01-01' から '9999-12-31' です。MySQL は 'YYYY-MM-DD' の形式で DATE 値を表示しますが、文字列または数値のどちらかを使用した DATE カラムへの値の割り当てを許可しています。</t>
    <phoneticPr fontId="1"/>
  </si>
  <si>
    <t xml:space="preserve"> '1970-01-01 00:00:01.000000' UTC から '2038-01-19 03:14:07.999999' UTC
fsp = 0 ~ 6 ( Defalt: fsp=0 )</t>
    <phoneticPr fontId="1"/>
  </si>
  <si>
    <t xml:space="preserve"> '1000-01-01 00:00:00.000000' から '9999-12-31 23:59:59.999999'
形式: 'YYYY-MM-DD HH:MM:SS[.fraction]'
fsp = 0 ~ 6 ( Defalt: fsp=0 )</t>
    <phoneticPr fontId="1"/>
  </si>
  <si>
    <t>1000-01-01' から '9999-12-31' 
形式: 'YYYY-MM-DD' </t>
    <phoneticPr fontId="1"/>
  </si>
  <si>
    <t>サーバーで TIMESTAMP 定義をどのように扱うかは、explicit_defaults_for_timestamp システム変数の値によって異なります (セクション5.1.4「サーバーシステム変数」を参照してください)</t>
    <phoneticPr fontId="1"/>
  </si>
  <si>
    <t xml:space="preserve">'-838:59:59.000000' から '838:59:59.000000'
形式: 'HH:MM:SS[.fraction]'  </t>
    <phoneticPr fontId="1"/>
  </si>
  <si>
    <t xml:space="preserve">1970 から 2069 </t>
    <phoneticPr fontId="1"/>
  </si>
  <si>
    <t>TINYTEXT</t>
    <phoneticPr fontId="1"/>
  </si>
  <si>
    <r>
      <rPr>
        <b/>
        <sz val="13"/>
        <color rgb="FF7030A0"/>
        <rFont val="メイリオ"/>
        <family val="2"/>
        <charset val="128"/>
      </rPr>
      <t xml:space="preserve">[NATIONAL] </t>
    </r>
    <r>
      <rPr>
        <sz val="13"/>
        <color rgb="FF000000"/>
        <rFont val="メイリオ"/>
        <family val="2"/>
        <charset val="128"/>
      </rPr>
      <t>VARCHAR(</t>
    </r>
    <r>
      <rPr>
        <b/>
        <i/>
        <sz val="12"/>
        <color rgb="FF000000"/>
        <rFont val="メイリオ"/>
        <family val="2"/>
        <charset val="128"/>
      </rPr>
      <t>M</t>
    </r>
    <r>
      <rPr>
        <sz val="13"/>
        <color rgb="FF000000"/>
        <rFont val="メイリオ"/>
        <family val="2"/>
        <charset val="128"/>
      </rPr>
      <t xml:space="preserve">) </t>
    </r>
    <r>
      <rPr>
        <b/>
        <sz val="13"/>
        <color rgb="FF7030A0"/>
        <rFont val="メイリオ"/>
        <family val="2"/>
        <charset val="128"/>
      </rPr>
      <t>[CHARACTER SET </t>
    </r>
    <r>
      <rPr>
        <b/>
        <i/>
        <sz val="12"/>
        <color rgb="FF7030A0"/>
        <rFont val="メイリオ"/>
        <family val="2"/>
        <charset val="128"/>
      </rPr>
      <t>charset_name</t>
    </r>
    <r>
      <rPr>
        <b/>
        <sz val="13"/>
        <color rgb="FF7030A0"/>
        <rFont val="メイリオ"/>
        <family val="2"/>
        <charset val="128"/>
      </rPr>
      <t>] [COLLATE </t>
    </r>
    <r>
      <rPr>
        <b/>
        <i/>
        <sz val="12"/>
        <color rgb="FF7030A0"/>
        <rFont val="メイリオ"/>
        <family val="2"/>
        <charset val="128"/>
      </rPr>
      <t>collation_name</t>
    </r>
    <r>
      <rPr>
        <b/>
        <sz val="13"/>
        <color rgb="FF7030A0"/>
        <rFont val="メイリオ"/>
        <family val="2"/>
        <charset val="128"/>
      </rPr>
      <t>]</t>
    </r>
    <phoneticPr fontId="1"/>
  </si>
  <si>
    <r>
      <rPr>
        <b/>
        <sz val="13"/>
        <color rgb="FF7030A0"/>
        <rFont val="メイリオ"/>
        <family val="2"/>
        <charset val="128"/>
      </rPr>
      <t xml:space="preserve">[NATIONAL] </t>
    </r>
    <r>
      <rPr>
        <sz val="13"/>
        <color rgb="FF000000"/>
        <rFont val="メイリオ"/>
        <family val="2"/>
        <charset val="128"/>
      </rPr>
      <t>CHAR[(</t>
    </r>
    <r>
      <rPr>
        <b/>
        <i/>
        <sz val="12"/>
        <color rgb="FF000000"/>
        <rFont val="メイリオ"/>
        <family val="2"/>
        <charset val="128"/>
      </rPr>
      <t>M</t>
    </r>
    <r>
      <rPr>
        <sz val="13"/>
        <color rgb="FF000000"/>
        <rFont val="メイリオ"/>
        <family val="2"/>
        <charset val="128"/>
      </rPr>
      <t>)]</t>
    </r>
    <r>
      <rPr>
        <b/>
        <sz val="13"/>
        <color rgb="FF0070C0"/>
        <rFont val="メイリオ"/>
        <family val="2"/>
        <charset val="128"/>
      </rPr>
      <t xml:space="preserve"> </t>
    </r>
    <r>
      <rPr>
        <b/>
        <sz val="13"/>
        <color rgb="FF7030A0"/>
        <rFont val="メイリオ"/>
        <family val="2"/>
        <charset val="128"/>
      </rPr>
      <t>[CHARACTER SET </t>
    </r>
    <r>
      <rPr>
        <b/>
        <i/>
        <sz val="12"/>
        <color rgb="FF7030A0"/>
        <rFont val="メイリオ"/>
        <family val="2"/>
        <charset val="128"/>
      </rPr>
      <t>charset_name</t>
    </r>
    <r>
      <rPr>
        <b/>
        <sz val="13"/>
        <color rgb="FF7030A0"/>
        <rFont val="メイリオ"/>
        <family val="2"/>
        <charset val="128"/>
      </rPr>
      <t>] [COLLATE </t>
    </r>
    <r>
      <rPr>
        <b/>
        <i/>
        <sz val="12"/>
        <color rgb="FF7030A0"/>
        <rFont val="メイリオ"/>
        <family val="2"/>
        <charset val="128"/>
      </rPr>
      <t>collation_name</t>
    </r>
    <r>
      <rPr>
        <b/>
        <sz val="13"/>
        <color rgb="FF7030A0"/>
        <rFont val="メイリオ"/>
        <family val="2"/>
        <charset val="128"/>
      </rPr>
      <t>]</t>
    </r>
    <phoneticPr fontId="1"/>
  </si>
  <si>
    <r>
      <t>TINYTEXT</t>
    </r>
    <r>
      <rPr>
        <b/>
        <sz val="13"/>
        <color rgb="FF7030A0"/>
        <rFont val="メイリオ"/>
        <family val="2"/>
        <charset val="128"/>
      </rPr>
      <t xml:space="preserve"> [CHARACTER SET </t>
    </r>
    <r>
      <rPr>
        <b/>
        <i/>
        <sz val="12"/>
        <color rgb="FF7030A0"/>
        <rFont val="メイリオ"/>
        <family val="2"/>
        <charset val="128"/>
      </rPr>
      <t>charset_name</t>
    </r>
    <r>
      <rPr>
        <b/>
        <sz val="13"/>
        <color rgb="FF7030A0"/>
        <rFont val="メイリオ"/>
        <family val="2"/>
        <charset val="128"/>
      </rPr>
      <t xml:space="preserve">] [COLLATE </t>
    </r>
    <r>
      <rPr>
        <b/>
        <i/>
        <sz val="12"/>
        <color rgb="FF7030A0"/>
        <rFont val="メイリオ"/>
        <family val="2"/>
        <charset val="128"/>
      </rPr>
      <t>collation_name</t>
    </r>
    <r>
      <rPr>
        <b/>
        <sz val="13"/>
        <color rgb="FF7030A0"/>
        <rFont val="メイリオ"/>
        <family val="2"/>
        <charset val="128"/>
      </rPr>
      <t>]</t>
    </r>
    <phoneticPr fontId="1"/>
  </si>
  <si>
    <t xml:space="preserve">SET('value1','value2',...) </t>
    <phoneticPr fontId="1"/>
  </si>
  <si>
    <t>LONGTEXT</t>
    <phoneticPr fontId="1"/>
  </si>
  <si>
    <t>MEDIUMTEXT</t>
    <phoneticPr fontId="1"/>
  </si>
  <si>
    <t>Max Len:  16,777,215 (2^24 − 1) バイト</t>
    <phoneticPr fontId="1"/>
  </si>
  <si>
    <t>Max Len: 255 (2^8 − 1) 文字</t>
    <phoneticPr fontId="1"/>
  </si>
  <si>
    <t>Max Len:  65,535 (2^16 − 1) 文字</t>
    <phoneticPr fontId="1"/>
  </si>
  <si>
    <t>Max Len:  16,777,215 (2^24 − 1) 文字</t>
    <phoneticPr fontId="1"/>
  </si>
  <si>
    <t>Max Len: 4,294,967,295
 or 4G byte (2^32 − 1) 文字</t>
    <rPh sb="46" eb="48">
      <t>モジ</t>
    </rPh>
    <phoneticPr fontId="1"/>
  </si>
  <si>
    <t>Max Len: 4,294,967,295
 or 4G byte  (2^32 − 1) バイト</t>
    <phoneticPr fontId="1"/>
  </si>
  <si>
    <t>set column max: 65,535個の個別要素
(but real max : &lt;= 3000)
set column list : &lt;= 255個</t>
    <rPh sb="22" eb="23">
      <t>コ</t>
    </rPh>
    <rPh sb="24" eb="26">
      <t>コベツ</t>
    </rPh>
    <rPh sb="26" eb="28">
      <t>ヨウソ</t>
    </rPh>
    <phoneticPr fontId="1"/>
  </si>
  <si>
    <t>set column max: 64 個のメンバー
set column list : &lt;= 255個</t>
    <rPh sb="19" eb="20">
      <t>コ</t>
    </rPh>
    <rPh sb="50" eb="51">
      <t>コ</t>
    </rPh>
    <phoneticPr fontId="1"/>
  </si>
  <si>
    <t>MySQL 5.6.6 以降、YEAR(2) は非推奨です。</t>
    <phoneticPr fontId="1"/>
  </si>
  <si>
    <t>DECIMAL のシノニム</t>
    <phoneticPr fontId="1"/>
  </si>
  <si>
    <t>DOUBLE のシノニム（例外あり）</t>
    <phoneticPr fontId="1"/>
  </si>
  <si>
    <t>＊ODBC との互換性を確保</t>
    <phoneticPr fontId="1"/>
  </si>
  <si>
    <t>＊MySQL ではすべての計算が倍精度で行われているので、FLOAT を使用すると、予想外の問題が起きることがあります</t>
    <phoneticPr fontId="1"/>
  </si>
  <si>
    <t>YEAR[(2)]</t>
    <rPh sb="0" eb="9">
      <t>ヒスイショウ</t>
    </rPh>
    <phoneticPr fontId="1"/>
  </si>
  <si>
    <t>70 から 69   ※非推奨</t>
    <phoneticPr fontId="1"/>
  </si>
  <si>
    <t>M = 0 ~ 65,535 byte
ex) utf8 M = 0 ~ 21,844 文字</t>
    <phoneticPr fontId="1"/>
  </si>
  <si>
    <t>M=0 ~ 65,535 byte</t>
    <phoneticPr fontId="1"/>
  </si>
  <si>
    <t>M=0 ~ 255 文字</t>
    <phoneticPr fontId="1"/>
  </si>
  <si>
    <t>M = 0 ~ 255 ( Defalt: M=1) 文字</t>
    <phoneticPr fontId="1"/>
  </si>
  <si>
    <t>Max Len: 255 (2^8 − 1) byte</t>
    <phoneticPr fontId="1"/>
  </si>
  <si>
    <t>対象</t>
    <rPh sb="0" eb="2">
      <t>タイショウ</t>
    </rPh>
    <phoneticPr fontId="1"/>
  </si>
  <si>
    <r>
      <t>BIT[(</t>
    </r>
    <r>
      <rPr>
        <b/>
        <sz val="14"/>
        <color rgb="FF000000"/>
        <rFont val="メイリオ"/>
        <family val="2"/>
        <charset val="128"/>
      </rPr>
      <t>M</t>
    </r>
    <r>
      <rPr>
        <sz val="14"/>
        <color rgb="FF000000"/>
        <rFont val="メイリオ"/>
        <family val="2"/>
        <charset val="128"/>
      </rPr>
      <t>)]</t>
    </r>
    <phoneticPr fontId="1"/>
  </si>
  <si>
    <r>
      <t>TINYINT[(</t>
    </r>
    <r>
      <rPr>
        <b/>
        <sz val="14"/>
        <color rgb="FF000000"/>
        <rFont val="メイリオ"/>
        <family val="2"/>
        <charset val="128"/>
      </rPr>
      <t>M</t>
    </r>
    <r>
      <rPr>
        <sz val="14"/>
        <color rgb="FF000000"/>
        <rFont val="メイリオ"/>
        <family val="2"/>
        <charset val="128"/>
      </rPr>
      <t>)]</t>
    </r>
    <phoneticPr fontId="1"/>
  </si>
  <si>
    <r>
      <t>SMALLINT[(</t>
    </r>
    <r>
      <rPr>
        <b/>
        <sz val="14"/>
        <color rgb="FF000000"/>
        <rFont val="メイリオ"/>
        <family val="2"/>
        <charset val="128"/>
      </rPr>
      <t>M</t>
    </r>
    <r>
      <rPr>
        <sz val="14"/>
        <color rgb="FF000000"/>
        <rFont val="メイリオ"/>
        <family val="2"/>
        <charset val="128"/>
      </rPr>
      <t xml:space="preserve">)] </t>
    </r>
    <phoneticPr fontId="1"/>
  </si>
  <si>
    <r>
      <t>MEDIUMINT[(</t>
    </r>
    <r>
      <rPr>
        <b/>
        <sz val="14"/>
        <color rgb="FF000000"/>
        <rFont val="メイリオ"/>
        <family val="2"/>
        <charset val="128"/>
      </rPr>
      <t>M</t>
    </r>
    <r>
      <rPr>
        <sz val="14"/>
        <color rgb="FF000000"/>
        <rFont val="メイリオ"/>
        <family val="2"/>
        <charset val="128"/>
      </rPr>
      <t xml:space="preserve">)] </t>
    </r>
    <phoneticPr fontId="1"/>
  </si>
  <si>
    <r>
      <t>BIGINT[(</t>
    </r>
    <r>
      <rPr>
        <b/>
        <sz val="14"/>
        <color rgb="FF000000"/>
        <rFont val="メイリオ"/>
        <family val="2"/>
        <charset val="128"/>
      </rPr>
      <t>M</t>
    </r>
    <r>
      <rPr>
        <sz val="14"/>
        <color rgb="FF000000"/>
        <rFont val="メイリオ"/>
        <family val="2"/>
        <charset val="128"/>
      </rPr>
      <t xml:space="preserve">)] </t>
    </r>
    <phoneticPr fontId="1"/>
  </si>
  <si>
    <r>
      <t>DATETIME[(</t>
    </r>
    <r>
      <rPr>
        <b/>
        <sz val="14"/>
        <color rgb="FF000000"/>
        <rFont val="メイリオ"/>
        <family val="2"/>
        <charset val="128"/>
      </rPr>
      <t>fsp</t>
    </r>
    <r>
      <rPr>
        <sz val="14"/>
        <color rgb="FF000000"/>
        <rFont val="メイリオ"/>
        <family val="2"/>
        <charset val="128"/>
      </rPr>
      <t>)]</t>
    </r>
    <phoneticPr fontId="1"/>
  </si>
  <si>
    <r>
      <t>TIMESTAMP[(</t>
    </r>
    <r>
      <rPr>
        <b/>
        <sz val="14"/>
        <color rgb="FF000000"/>
        <rFont val="メイリオ"/>
        <family val="2"/>
        <charset val="128"/>
      </rPr>
      <t>fsp</t>
    </r>
    <r>
      <rPr>
        <sz val="14"/>
        <color rgb="FF000000"/>
        <rFont val="メイリオ"/>
        <family val="2"/>
        <charset val="128"/>
      </rPr>
      <t>)]</t>
    </r>
    <phoneticPr fontId="1"/>
  </si>
  <si>
    <r>
      <t>CHAR[(</t>
    </r>
    <r>
      <rPr>
        <b/>
        <sz val="14"/>
        <color rgb="FF000000"/>
        <rFont val="メイリオ"/>
        <family val="2"/>
        <charset val="128"/>
      </rPr>
      <t>M</t>
    </r>
    <r>
      <rPr>
        <sz val="14"/>
        <color rgb="FF000000"/>
        <rFont val="メイリオ"/>
        <family val="2"/>
        <charset val="128"/>
      </rPr>
      <t>)]</t>
    </r>
    <phoneticPr fontId="1"/>
  </si>
  <si>
    <r>
      <t>VARCHAR(</t>
    </r>
    <r>
      <rPr>
        <b/>
        <sz val="14"/>
        <color rgb="FF000000"/>
        <rFont val="メイリオ"/>
        <family val="2"/>
        <charset val="128"/>
      </rPr>
      <t>M</t>
    </r>
    <r>
      <rPr>
        <sz val="14"/>
        <color rgb="FF000000"/>
        <rFont val="メイリオ"/>
        <family val="2"/>
        <charset val="128"/>
      </rPr>
      <t>)</t>
    </r>
    <phoneticPr fontId="1"/>
  </si>
  <si>
    <r>
      <t>BINARY(</t>
    </r>
    <r>
      <rPr>
        <b/>
        <sz val="14"/>
        <color rgb="FF000000"/>
        <rFont val="メイリオ"/>
        <family val="2"/>
        <charset val="128"/>
      </rPr>
      <t>M</t>
    </r>
    <r>
      <rPr>
        <sz val="14"/>
        <color rgb="FF000000"/>
        <rFont val="メイリオ"/>
        <family val="2"/>
        <charset val="128"/>
      </rPr>
      <t>)</t>
    </r>
    <phoneticPr fontId="1"/>
  </si>
  <si>
    <r>
      <t>VARBINARY(</t>
    </r>
    <r>
      <rPr>
        <b/>
        <sz val="14"/>
        <color rgb="FF000000"/>
        <rFont val="メイリオ"/>
        <family val="2"/>
        <charset val="128"/>
      </rPr>
      <t>M</t>
    </r>
    <r>
      <rPr>
        <sz val="14"/>
        <color rgb="FF000000"/>
        <rFont val="メイリオ"/>
        <family val="2"/>
        <charset val="128"/>
      </rPr>
      <t>)</t>
    </r>
  </si>
  <si>
    <r>
      <t>BLOB[(</t>
    </r>
    <r>
      <rPr>
        <b/>
        <sz val="14"/>
        <color rgb="FF000000"/>
        <rFont val="メイリオ"/>
        <family val="2"/>
        <charset val="128"/>
      </rPr>
      <t>M</t>
    </r>
    <r>
      <rPr>
        <sz val="14"/>
        <color rgb="FF000000"/>
        <rFont val="メイリオ"/>
        <family val="2"/>
        <charset val="128"/>
      </rPr>
      <t>)]</t>
    </r>
  </si>
  <si>
    <r>
      <t>TEXT[(</t>
    </r>
    <r>
      <rPr>
        <b/>
        <sz val="14"/>
        <color rgb="FF000000"/>
        <rFont val="メイリオ"/>
        <family val="2"/>
        <charset val="128"/>
      </rPr>
      <t>M</t>
    </r>
    <r>
      <rPr>
        <sz val="14"/>
        <color rgb="FF000000"/>
        <rFont val="メイリオ"/>
        <family val="2"/>
        <charset val="128"/>
      </rPr>
      <t xml:space="preserve">)] </t>
    </r>
    <phoneticPr fontId="1"/>
  </si>
  <si>
    <r>
      <t>FLOAT[(</t>
    </r>
    <r>
      <rPr>
        <b/>
        <sz val="14"/>
        <color rgb="FF000000"/>
        <rFont val="メイリオ"/>
        <family val="2"/>
        <charset val="128"/>
      </rPr>
      <t>M</t>
    </r>
    <r>
      <rPr>
        <sz val="14"/>
        <color rgb="FF000000"/>
        <rFont val="メイリオ"/>
        <family val="2"/>
        <charset val="128"/>
      </rPr>
      <t>,</t>
    </r>
    <r>
      <rPr>
        <b/>
        <sz val="14"/>
        <color rgb="FF000000"/>
        <rFont val="メイリオ"/>
        <family val="2"/>
        <charset val="128"/>
      </rPr>
      <t>D</t>
    </r>
    <r>
      <rPr>
        <sz val="14"/>
        <color rgb="FF000000"/>
        <rFont val="メイリオ"/>
        <family val="2"/>
        <charset val="128"/>
      </rPr>
      <t>)]</t>
    </r>
    <phoneticPr fontId="1"/>
  </si>
  <si>
    <r>
      <t>INTEGER[(</t>
    </r>
    <r>
      <rPr>
        <b/>
        <sz val="14"/>
        <color rgb="FF000000"/>
        <rFont val="メイリオ"/>
        <family val="2"/>
        <charset val="128"/>
      </rPr>
      <t>M</t>
    </r>
    <r>
      <rPr>
        <sz val="14"/>
        <color rgb="FF000000"/>
        <rFont val="メイリオ"/>
        <family val="2"/>
        <charset val="128"/>
      </rPr>
      <t xml:space="preserve">)] </t>
    </r>
    <phoneticPr fontId="1"/>
  </si>
  <si>
    <r>
      <t>ENUM('</t>
    </r>
    <r>
      <rPr>
        <b/>
        <sz val="14"/>
        <color rgb="FF000000"/>
        <rFont val="メイリオ"/>
        <family val="2"/>
        <charset val="128"/>
      </rPr>
      <t>value1</t>
    </r>
    <r>
      <rPr>
        <sz val="14"/>
        <color rgb="FF000000"/>
        <rFont val="メイリオ"/>
        <family val="2"/>
        <charset val="128"/>
      </rPr>
      <t>','</t>
    </r>
    <r>
      <rPr>
        <b/>
        <sz val="14"/>
        <color rgb="FF000000"/>
        <rFont val="メイリオ"/>
        <family val="2"/>
        <charset val="128"/>
      </rPr>
      <t>value2</t>
    </r>
    <r>
      <rPr>
        <sz val="14"/>
        <color rgb="FF000000"/>
        <rFont val="メイリオ"/>
        <family val="2"/>
        <charset val="128"/>
      </rPr>
      <t>',...)</t>
    </r>
    <phoneticPr fontId="1"/>
  </si>
  <si>
    <t>最終更新日</t>
    <rPh sb="0" eb="2">
      <t>サイシュウ</t>
    </rPh>
    <rPh sb="2" eb="5">
      <t>コウシンビ</t>
    </rPh>
    <phoneticPr fontId="1"/>
  </si>
  <si>
    <t>最終更新者</t>
    <rPh sb="0" eb="2">
      <t>サイシュウ</t>
    </rPh>
    <rPh sb="2" eb="5">
      <t>コウシンシャ</t>
    </rPh>
    <phoneticPr fontId="1"/>
  </si>
  <si>
    <t>日付・時間型</t>
    <rPh sb="3" eb="5">
      <t>ジカン</t>
    </rPh>
    <phoneticPr fontId="1"/>
  </si>
  <si>
    <t>カラム情報</t>
    <rPh sb="3" eb="5">
      <t>ジョウホウ</t>
    </rPh>
    <phoneticPr fontId="1"/>
  </si>
  <si>
    <t>型カテゴリ</t>
    <rPh sb="0" eb="1">
      <t>カタ</t>
    </rPh>
    <phoneticPr fontId="1"/>
  </si>
  <si>
    <r>
      <t>VARCHAR(</t>
    </r>
    <r>
      <rPr>
        <b/>
        <sz val="14"/>
        <color rgb="FF000000"/>
        <rFont val="Meiryo UI"/>
        <family val="2"/>
        <charset val="128"/>
      </rPr>
      <t>M</t>
    </r>
    <r>
      <rPr>
        <sz val="14"/>
        <color rgb="FF000000"/>
        <rFont val="Meiryo UI"/>
        <family val="2"/>
        <charset val="128"/>
      </rPr>
      <t>)</t>
    </r>
    <phoneticPr fontId="1"/>
  </si>
  <si>
    <r>
      <t>BINARY(</t>
    </r>
    <r>
      <rPr>
        <b/>
        <sz val="14"/>
        <color rgb="FF000000"/>
        <rFont val="Meiryo UI"/>
        <family val="2"/>
        <charset val="128"/>
      </rPr>
      <t>M</t>
    </r>
    <r>
      <rPr>
        <sz val="14"/>
        <color rgb="FF000000"/>
        <rFont val="Meiryo UI"/>
        <family val="2"/>
        <charset val="128"/>
      </rPr>
      <t>)</t>
    </r>
    <phoneticPr fontId="1"/>
  </si>
  <si>
    <r>
      <t>VARBINARY(</t>
    </r>
    <r>
      <rPr>
        <b/>
        <sz val="14"/>
        <color rgb="FF000000"/>
        <rFont val="Meiryo UI"/>
        <family val="2"/>
        <charset val="128"/>
      </rPr>
      <t>M</t>
    </r>
    <r>
      <rPr>
        <sz val="14"/>
        <color rgb="FF000000"/>
        <rFont val="Meiryo UI"/>
        <family val="2"/>
        <charset val="128"/>
      </rPr>
      <t>)</t>
    </r>
  </si>
  <si>
    <t>ENGINE</t>
    <phoneticPr fontId="1"/>
  </si>
  <si>
    <t>InnoDB</t>
    <phoneticPr fontId="1"/>
  </si>
  <si>
    <t>CHARSET</t>
    <phoneticPr fontId="1"/>
  </si>
  <si>
    <t>utf8mb4</t>
    <phoneticPr fontId="1"/>
  </si>
  <si>
    <t>m000_sample</t>
  </si>
  <si>
    <t>ユニークID</t>
    <phoneticPr fontId="1"/>
  </si>
  <si>
    <t>id</t>
    <phoneticPr fontId="1"/>
  </si>
  <si>
    <t>created_user_id</t>
    <phoneticPr fontId="1"/>
  </si>
  <si>
    <t>updated_user_id</t>
    <phoneticPr fontId="1"/>
  </si>
  <si>
    <t>is_used</t>
    <phoneticPr fontId="1"/>
  </si>
  <si>
    <t>システム名</t>
    <phoneticPr fontId="1"/>
  </si>
  <si>
    <t>サブシステム名</t>
    <phoneticPr fontId="1"/>
  </si>
  <si>
    <t>2019/2/5</t>
    <phoneticPr fontId="1"/>
  </si>
  <si>
    <t>8.0</t>
  </si>
  <si>
    <t>8.0</t>
    <phoneticPr fontId="1"/>
  </si>
  <si>
    <t>&lt; 5.5</t>
    <phoneticPr fontId="1"/>
  </si>
  <si>
    <t>&gt; 8.0</t>
    <phoneticPr fontId="1"/>
  </si>
  <si>
    <t>MySQL version</t>
    <phoneticPr fontId="1"/>
  </si>
  <si>
    <t>※本シートは削除しないでください！（名前の定義で利用しており、プルダウンリストに使用しているため、消すと正しく動作しません）</t>
    <rPh sb="1" eb="2">
      <t>ホンシートハ</t>
    </rPh>
    <rPh sb="6" eb="8">
      <t>サクジョ</t>
    </rPh>
    <rPh sb="18" eb="20">
      <t>ナマエ</t>
    </rPh>
    <rPh sb="24" eb="26">
      <t>リヨウ</t>
    </rPh>
    <rPh sb="40" eb="42">
      <t>シヨウシテイルタメ</t>
    </rPh>
    <rPh sb="49" eb="50">
      <t>ケスト</t>
    </rPh>
    <rPh sb="52" eb="53">
      <t>タダシクドウサ</t>
    </rPh>
    <phoneticPr fontId="1"/>
  </si>
  <si>
    <t>プルダウンマスタ</t>
    <phoneticPr fontId="1"/>
  </si>
  <si>
    <t>ツールで使用可能な型の選択肢は、型シートの対象（C列）に「○」とマルがついているものになります。
○ではなく「ー」となっている型は、今回対象外としています。もし必要であれば、用途に応じてプログラムの改修をする必要があります。ご自由にプログラムを変更していただいて構いませんが、コードの変更をされた場合はサポート対象外とさせていただきますので、あらかじめご了承ください。</t>
    <rPh sb="4" eb="6">
      <t>シヨウ</t>
    </rPh>
    <rPh sb="6" eb="8">
      <t>カノウ</t>
    </rPh>
    <rPh sb="9" eb="10">
      <t>カタ</t>
    </rPh>
    <rPh sb="11" eb="14">
      <t>センタクシ</t>
    </rPh>
    <rPh sb="16" eb="17">
      <t>カタ</t>
    </rPh>
    <rPh sb="21" eb="23">
      <t>タイショウ</t>
    </rPh>
    <rPh sb="25" eb="26">
      <t>レツ</t>
    </rPh>
    <rPh sb="63" eb="64">
      <t>カタ</t>
    </rPh>
    <rPh sb="66" eb="67">
      <t>コンカイノ</t>
    </rPh>
    <rPh sb="68" eb="70">
      <t>タイショウガイ</t>
    </rPh>
    <rPh sb="77" eb="78">
      <t>リヨウ</t>
    </rPh>
    <rPh sb="80" eb="82">
      <t>ヒツヨウデアレバ</t>
    </rPh>
    <rPh sb="91" eb="93">
      <t>ツイカ</t>
    </rPh>
    <rPh sb="99" eb="101">
      <t>カイシュウ</t>
    </rPh>
    <rPh sb="104" eb="106">
      <t>ヒツヨウガアリマス</t>
    </rPh>
    <rPh sb="122" eb="124">
      <t>ヘンコウ</t>
    </rPh>
    <rPh sb="142" eb="144">
      <t>ヘンコウヲ</t>
    </rPh>
    <rPh sb="155" eb="158">
      <t>タイショウガイ</t>
    </rPh>
    <phoneticPr fontId="1"/>
  </si>
  <si>
    <t>MyISAM</t>
    <phoneticPr fontId="1"/>
  </si>
  <si>
    <t>CSV</t>
    <phoneticPr fontId="1"/>
  </si>
  <si>
    <t>←デフォルト</t>
    <phoneticPr fontId="1"/>
  </si>
  <si>
    <t>mysql&gt; SHOW CHARACTER SET;</t>
  </si>
  <si>
    <t>+----------+---------------------------------+---------------------+--------+</t>
  </si>
  <si>
    <t>41 rows in set (0.01 sec)</t>
  </si>
  <si>
    <t xml:space="preserve"> Description                     </t>
  </si>
  <si>
    <t xml:space="preserve"> Default collation   </t>
  </si>
  <si>
    <t xml:space="preserve"> Maxlen </t>
  </si>
  <si>
    <t xml:space="preserve"> armscii8 </t>
  </si>
  <si>
    <t xml:space="preserve"> ARMSCII-8 Armenian              </t>
  </si>
  <si>
    <t xml:space="preserve"> armscii8_general_ci </t>
  </si>
  <si>
    <t xml:space="preserve"> ascii    </t>
  </si>
  <si>
    <t xml:space="preserve"> US ASCII                        </t>
  </si>
  <si>
    <t xml:space="preserve"> ascii_general_ci    </t>
  </si>
  <si>
    <t xml:space="preserve"> big5     </t>
  </si>
  <si>
    <t xml:space="preserve"> Big5 Traditional Chinese        </t>
  </si>
  <si>
    <t xml:space="preserve"> big5_chinese_ci     </t>
  </si>
  <si>
    <t xml:space="preserve"> binary   </t>
  </si>
  <si>
    <t xml:space="preserve"> Binary pseudo charset           </t>
  </si>
  <si>
    <t xml:space="preserve"> binary              </t>
  </si>
  <si>
    <t xml:space="preserve"> cp1250   </t>
  </si>
  <si>
    <t xml:space="preserve"> Windows Central European        </t>
  </si>
  <si>
    <t xml:space="preserve"> cp1250_general_ci   </t>
  </si>
  <si>
    <t xml:space="preserve"> cp1251   </t>
  </si>
  <si>
    <t xml:space="preserve"> Windows Cyrillic                </t>
  </si>
  <si>
    <t xml:space="preserve"> cp1251_general_ci   </t>
  </si>
  <si>
    <t xml:space="preserve"> cp1256   </t>
  </si>
  <si>
    <t xml:space="preserve"> Windows Arabic                  </t>
  </si>
  <si>
    <t xml:space="preserve"> cp1256_general_ci   </t>
  </si>
  <si>
    <t xml:space="preserve"> cp1257   </t>
  </si>
  <si>
    <t xml:space="preserve"> Windows Baltic                  </t>
  </si>
  <si>
    <t xml:space="preserve"> cp1257_general_ci   </t>
  </si>
  <si>
    <t xml:space="preserve"> cp850    </t>
  </si>
  <si>
    <t xml:space="preserve"> DOS West European               </t>
  </si>
  <si>
    <t xml:space="preserve"> cp850_general_ci    </t>
  </si>
  <si>
    <t xml:space="preserve"> cp852    </t>
  </si>
  <si>
    <t xml:space="preserve"> DOS Central European            </t>
  </si>
  <si>
    <t xml:space="preserve"> cp852_general_ci    </t>
  </si>
  <si>
    <t xml:space="preserve"> cp866    </t>
  </si>
  <si>
    <t xml:space="preserve"> DOS Russian                     </t>
  </si>
  <si>
    <t xml:space="preserve"> cp866_general_ci    </t>
  </si>
  <si>
    <t xml:space="preserve"> cp932    </t>
  </si>
  <si>
    <t xml:space="preserve"> SJIS for Windows Japanese       </t>
  </si>
  <si>
    <t xml:space="preserve"> cp932_japanese_ci   </t>
  </si>
  <si>
    <t xml:space="preserve"> DEC West European               </t>
  </si>
  <si>
    <t xml:space="preserve"> dec8_swedish_ci     </t>
  </si>
  <si>
    <t xml:space="preserve"> eucjpms  </t>
  </si>
  <si>
    <t xml:space="preserve"> UJIS for Windows Japanese       </t>
  </si>
  <si>
    <t xml:space="preserve"> eucjpms_japanese_ci </t>
  </si>
  <si>
    <t xml:space="preserve"> euckr    </t>
  </si>
  <si>
    <t xml:space="preserve"> EUC-KR Korean                   </t>
  </si>
  <si>
    <t xml:space="preserve"> euckr_korean_ci     </t>
  </si>
  <si>
    <t xml:space="preserve"> gb18030  </t>
  </si>
  <si>
    <t xml:space="preserve"> China National Standard GB18030 </t>
  </si>
  <si>
    <t xml:space="preserve"> gb18030_chinese_ci  </t>
  </si>
  <si>
    <t xml:space="preserve"> gb2312   </t>
  </si>
  <si>
    <t xml:space="preserve"> GB2312 Simplified Chinese       </t>
  </si>
  <si>
    <t xml:space="preserve"> gb2312_chinese_ci   </t>
  </si>
  <si>
    <t xml:space="preserve"> gbk      </t>
  </si>
  <si>
    <t xml:space="preserve"> GBK Simplified Chinese          </t>
  </si>
  <si>
    <t xml:space="preserve"> gbk_chinese_ci      </t>
  </si>
  <si>
    <t xml:space="preserve"> geostd8  </t>
  </si>
  <si>
    <t xml:space="preserve"> GEOSTD8 Georgian                </t>
  </si>
  <si>
    <t xml:space="preserve"> geostd8_general_ci  </t>
  </si>
  <si>
    <t xml:space="preserve"> greek    </t>
  </si>
  <si>
    <t xml:space="preserve"> ISO 8859-7 Greek                </t>
  </si>
  <si>
    <t xml:space="preserve"> greek_general_ci    </t>
  </si>
  <si>
    <t xml:space="preserve"> hebrew   </t>
  </si>
  <si>
    <t xml:space="preserve"> ISO 8859-8 Hebrew               </t>
  </si>
  <si>
    <t xml:space="preserve"> hebrew_general_ci   </t>
  </si>
  <si>
    <t xml:space="preserve"> hp8      </t>
  </si>
  <si>
    <t xml:space="preserve"> HP West European                </t>
  </si>
  <si>
    <t xml:space="preserve"> hp8_english_ci      </t>
  </si>
  <si>
    <t xml:space="preserve"> keybcs2  </t>
  </si>
  <si>
    <t xml:space="preserve"> DOS Kamenicky Czech-Slovak      </t>
  </si>
  <si>
    <t xml:space="preserve"> keybcs2_general_ci  </t>
  </si>
  <si>
    <t xml:space="preserve"> koi8r    </t>
  </si>
  <si>
    <t xml:space="preserve"> KOI8-R Relcom Russian           </t>
  </si>
  <si>
    <t xml:space="preserve"> koi8r_general_ci    </t>
  </si>
  <si>
    <t xml:space="preserve"> koi8u    </t>
  </si>
  <si>
    <t xml:space="preserve"> KOI8-U Ukrainian                </t>
  </si>
  <si>
    <t xml:space="preserve"> koi8u_general_ci    </t>
  </si>
  <si>
    <t xml:space="preserve"> latin1   </t>
  </si>
  <si>
    <t xml:space="preserve"> cp1252 West European            </t>
  </si>
  <si>
    <t xml:space="preserve"> latin1_swedish_ci   </t>
  </si>
  <si>
    <t xml:space="preserve"> latin2   </t>
  </si>
  <si>
    <t xml:space="preserve"> ISO 8859-2 Central European     </t>
  </si>
  <si>
    <t xml:space="preserve"> latin2_general_ci   </t>
  </si>
  <si>
    <t xml:space="preserve"> latin5   </t>
  </si>
  <si>
    <t xml:space="preserve"> ISO 8859-9 Turkish              </t>
  </si>
  <si>
    <t xml:space="preserve"> latin5_turkish_ci   </t>
  </si>
  <si>
    <t xml:space="preserve"> latin7   </t>
  </si>
  <si>
    <t xml:space="preserve"> ISO 8859-13 Baltic              </t>
  </si>
  <si>
    <t xml:space="preserve"> latin7_general_ci   </t>
  </si>
  <si>
    <t xml:space="preserve"> macce    </t>
  </si>
  <si>
    <t xml:space="preserve"> Mac Central European            </t>
  </si>
  <si>
    <t xml:space="preserve"> macce_general_ci    </t>
  </si>
  <si>
    <t xml:space="preserve"> macroman </t>
  </si>
  <si>
    <t xml:space="preserve"> Mac West European               </t>
  </si>
  <si>
    <t xml:space="preserve"> macroman_general_ci </t>
  </si>
  <si>
    <t xml:space="preserve"> sjis     </t>
  </si>
  <si>
    <t xml:space="preserve"> Shift-JIS Japanese              </t>
  </si>
  <si>
    <t xml:space="preserve"> sjis_japanese_ci    </t>
  </si>
  <si>
    <t xml:space="preserve"> swe7     </t>
  </si>
  <si>
    <t xml:space="preserve"> 7bit Swedish                    </t>
  </si>
  <si>
    <t xml:space="preserve"> swe7_swedish_ci     </t>
  </si>
  <si>
    <t xml:space="preserve"> tis620   </t>
  </si>
  <si>
    <t xml:space="preserve"> TIS620 Thai                     </t>
  </si>
  <si>
    <t xml:space="preserve"> tis620_thai_ci      </t>
  </si>
  <si>
    <t xml:space="preserve"> ucs2     </t>
  </si>
  <si>
    <t xml:space="preserve"> UCS-2 Unicode                   </t>
  </si>
  <si>
    <t xml:space="preserve"> ucs2_general_ci     </t>
  </si>
  <si>
    <t xml:space="preserve"> ujis     </t>
  </si>
  <si>
    <t xml:space="preserve"> EUC-JP Japanese                 </t>
  </si>
  <si>
    <t xml:space="preserve"> ujis_japanese_ci    </t>
  </si>
  <si>
    <t xml:space="preserve"> utf16    </t>
  </si>
  <si>
    <t xml:space="preserve"> UTF-16 Unicode                  </t>
  </si>
  <si>
    <t xml:space="preserve"> utf16_general_ci    </t>
  </si>
  <si>
    <t xml:space="preserve"> utf16le  </t>
  </si>
  <si>
    <t xml:space="preserve"> UTF-16LE Unicode                </t>
  </si>
  <si>
    <t xml:space="preserve"> utf16le_general_ci  </t>
  </si>
  <si>
    <t xml:space="preserve"> utf32    </t>
  </si>
  <si>
    <t xml:space="preserve"> UTF-32 Unicode                  </t>
  </si>
  <si>
    <t xml:space="preserve"> utf32_general_ci    </t>
  </si>
  <si>
    <t xml:space="preserve"> utf8     </t>
  </si>
  <si>
    <t xml:space="preserve"> UTF-8 Unicode                   </t>
  </si>
  <si>
    <t xml:space="preserve"> utf8_general_ci     </t>
  </si>
  <si>
    <t xml:space="preserve"> utf8mb4  </t>
  </si>
  <si>
    <t xml:space="preserve"> utf8mb4_0900_ai_ci  </t>
  </si>
  <si>
    <t xml:space="preserve"> Charset  </t>
    <phoneticPr fontId="1"/>
  </si>
  <si>
    <t xml:space="preserve"> dec8     </t>
    <phoneticPr fontId="1"/>
  </si>
  <si>
    <t>armscii8</t>
  </si>
  <si>
    <t>ascii</t>
  </si>
  <si>
    <t>big5</t>
  </si>
  <si>
    <t>binary</t>
  </si>
  <si>
    <t>cp1250</t>
  </si>
  <si>
    <t>cp1251</t>
  </si>
  <si>
    <t>cp1256</t>
  </si>
  <si>
    <t>cp1257</t>
  </si>
  <si>
    <t>cp850</t>
  </si>
  <si>
    <t>cp852</t>
  </si>
  <si>
    <t>cp866</t>
  </si>
  <si>
    <t>cp932</t>
  </si>
  <si>
    <t>eucjpms</t>
  </si>
  <si>
    <t>euckr</t>
  </si>
  <si>
    <t>gb18030</t>
  </si>
  <si>
    <t>gb2312</t>
  </si>
  <si>
    <t>gbk</t>
  </si>
  <si>
    <t>geostd8</t>
  </si>
  <si>
    <t>greek</t>
  </si>
  <si>
    <t>hebrew</t>
  </si>
  <si>
    <t>hp8</t>
  </si>
  <si>
    <t>keybcs2</t>
  </si>
  <si>
    <t>koi8r</t>
  </si>
  <si>
    <t>koi8u</t>
  </si>
  <si>
    <t>latin1</t>
  </si>
  <si>
    <t>latin2</t>
  </si>
  <si>
    <t>latin5</t>
  </si>
  <si>
    <t>latin7</t>
  </si>
  <si>
    <t>macce</t>
  </si>
  <si>
    <t>macroman</t>
  </si>
  <si>
    <t>sjis</t>
  </si>
  <si>
    <t>swe7</t>
  </si>
  <si>
    <t>tis620</t>
  </si>
  <si>
    <t>ucs2</t>
  </si>
  <si>
    <t>ujis</t>
  </si>
  <si>
    <t>utf16</t>
  </si>
  <si>
    <t>utf16le</t>
  </si>
  <si>
    <t>utf32</t>
  </si>
  <si>
    <t>utf8</t>
  </si>
  <si>
    <t>utf8mb4</t>
  </si>
  <si>
    <t>dec8</t>
    <phoneticPr fontId="1"/>
  </si>
  <si>
    <t>備考</t>
    <rPh sb="0" eb="2">
      <t>ビコウ</t>
    </rPh>
    <phoneticPr fontId="1"/>
  </si>
  <si>
    <t>マスタデータ</t>
  </si>
  <si>
    <t>データ区分</t>
    <rPh sb="3" eb="5">
      <t>クブン</t>
    </rPh>
    <phoneticPr fontId="1"/>
  </si>
  <si>
    <t>created</t>
    <phoneticPr fontId="1"/>
  </si>
  <si>
    <t>updated</t>
    <phoneticPr fontId="1"/>
  </si>
  <si>
    <t>user_id</t>
    <phoneticPr fontId="1"/>
  </si>
  <si>
    <t>user_name</t>
    <phoneticPr fontId="1"/>
  </si>
  <si>
    <t>利用者ID</t>
    <rPh sb="0" eb="3">
      <t>リヨウシャ</t>
    </rPh>
    <phoneticPr fontId="1"/>
  </si>
  <si>
    <t>利用者名</t>
    <rPh sb="0" eb="1">
      <t>リヨウシャメイ</t>
    </rPh>
    <phoneticPr fontId="1"/>
  </si>
  <si>
    <t>VARCHAR(M)</t>
  </si>
  <si>
    <t>有効フラグ</t>
    <rPh sb="0" eb="2">
      <t>ユウコウ</t>
    </rPh>
    <phoneticPr fontId="1"/>
  </si>
  <si>
    <t>登録日時</t>
    <rPh sb="0" eb="2">
      <t>トウロク</t>
    </rPh>
    <rPh sb="2" eb="4">
      <t>ニチジ</t>
    </rPh>
    <phoneticPr fontId="1"/>
  </si>
  <si>
    <t>登録者ID</t>
    <rPh sb="0" eb="1">
      <t>トウロクシャ</t>
    </rPh>
    <phoneticPr fontId="1"/>
  </si>
  <si>
    <t>更新日時</t>
    <rPh sb="0" eb="2">
      <t>コウシン</t>
    </rPh>
    <rPh sb="2" eb="4">
      <t>ニチジ</t>
    </rPh>
    <phoneticPr fontId="1"/>
  </si>
  <si>
    <t>更新者ID</t>
    <rPh sb="0" eb="1">
      <t>コウシンシャ</t>
    </rPh>
    <phoneticPr fontId="1"/>
  </si>
  <si>
    <t>コメント</t>
    <phoneticPr fontId="1"/>
  </si>
  <si>
    <t>作成日</t>
    <phoneticPr fontId="1"/>
  </si>
  <si>
    <t>Aシステム</t>
    <phoneticPr fontId="1"/>
  </si>
  <si>
    <t>M000ユーザマスタ</t>
    <phoneticPr fontId="1"/>
  </si>
  <si>
    <t>利用者ID</t>
    <rPh sb="0" eb="3">
      <t xml:space="preserve">リヨウシャ </t>
    </rPh>
    <phoneticPr fontId="1"/>
  </si>
  <si>
    <t>○○システム</t>
    <phoneticPr fontId="1"/>
  </si>
  <si>
    <t>主キー
PRIMARY KEY</t>
    <rPh sb="0" eb="1">
      <t xml:space="preserve">シュキー </t>
    </rPh>
    <phoneticPr fontId="1"/>
  </si>
  <si>
    <t>必須
NOT NULL</t>
    <rPh sb="0" eb="2">
      <t xml:space="preserve">ヒッス </t>
    </rPh>
    <phoneticPr fontId="1"/>
  </si>
  <si>
    <t>数値型</t>
    <phoneticPr fontId="1"/>
  </si>
  <si>
    <t>文字列型</t>
    <phoneticPr fontId="1"/>
  </si>
  <si>
    <t>テーブル情報</t>
    <phoneticPr fontId="1"/>
  </si>
  <si>
    <r>
      <t>BIGINT</t>
    </r>
    <r>
      <rPr>
        <b/>
        <sz val="12"/>
        <color theme="9"/>
        <rFont val="メイリオ"/>
        <family val="2"/>
        <charset val="128"/>
      </rPr>
      <t xml:space="preserve"> </t>
    </r>
    <r>
      <rPr>
        <b/>
        <sz val="12"/>
        <color rgb="FF0070C0"/>
        <rFont val="メイリオ"/>
        <family val="2"/>
        <charset val="128"/>
      </rPr>
      <t>[UNSIGNED] [NOT NULL]</t>
    </r>
    <r>
      <rPr>
        <b/>
        <sz val="12"/>
        <color theme="9"/>
        <rFont val="メイリオ"/>
        <family val="2"/>
        <charset val="128"/>
      </rPr>
      <t xml:space="preserve"> [AUTO_INCREMENT] [UNIQUE]</t>
    </r>
    <phoneticPr fontId="1"/>
  </si>
  <si>
    <r>
      <t>DOUBLE[(M,D)]</t>
    </r>
    <r>
      <rPr>
        <b/>
        <sz val="12"/>
        <color rgb="FF0070C0"/>
        <rFont val="メイリオ"/>
        <family val="2"/>
        <charset val="128"/>
      </rPr>
      <t xml:space="preserve"> [UNSIGNED] [ZEROFILL]</t>
    </r>
    <phoneticPr fontId="1"/>
  </si>
  <si>
    <t>スキーマ名 *</t>
    <phoneticPr fontId="1"/>
  </si>
  <si>
    <t>物理テーブル名 *</t>
    <phoneticPr fontId="1"/>
  </si>
  <si>
    <t>論理テーブル名 *</t>
    <phoneticPr fontId="1"/>
  </si>
  <si>
    <t>利用目的 *</t>
    <rPh sb="0" eb="2">
      <t>リヨウ</t>
    </rPh>
    <rPh sb="2" eb="4">
      <t>モクテキ</t>
    </rPh>
    <phoneticPr fontId="1"/>
  </si>
  <si>
    <t>MySQL ver *</t>
    <phoneticPr fontId="1"/>
  </si>
  <si>
    <t>ENGINE *</t>
    <phoneticPr fontId="1"/>
  </si>
  <si>
    <t>CHARSET *</t>
    <phoneticPr fontId="1"/>
  </si>
  <si>
    <t>物理カラム名 *
Column Name</t>
    <rPh sb="0" eb="2">
      <t xml:space="preserve">ブツリ </t>
    </rPh>
    <phoneticPr fontId="1"/>
  </si>
  <si>
    <t>論理カラム名 *
Column Comment</t>
    <rPh sb="0" eb="6">
      <t>ロンリメイ</t>
    </rPh>
    <phoneticPr fontId="1"/>
  </si>
  <si>
    <t>型分類 *
Data Type</t>
    <rPh sb="1" eb="3">
      <t xml:space="preserve">ブンルイ </t>
    </rPh>
    <phoneticPr fontId="1"/>
  </si>
  <si>
    <t>データ型 *
Data Type Detail</t>
    <phoneticPr fontId="1"/>
  </si>
  <si>
    <t>(*)入力必須</t>
    <rPh sb="3" eb="7">
      <t xml:space="preserve">ニュウリョクヒッス </t>
    </rPh>
    <phoneticPr fontId="1"/>
  </si>
  <si>
    <t>数値型</t>
    <rPh sb="0" eb="3">
      <t xml:space="preserve">スウチガタ </t>
    </rPh>
    <phoneticPr fontId="1"/>
  </si>
  <si>
    <t>数値・文字列型</t>
    <rPh sb="0" eb="2">
      <t xml:space="preserve">スウチガタ </t>
    </rPh>
    <rPh sb="3" eb="6">
      <t xml:space="preserve">モジレツ </t>
    </rPh>
    <rPh sb="6" eb="7">
      <t xml:space="preserve">ガタ </t>
    </rPh>
    <phoneticPr fontId="1"/>
  </si>
  <si>
    <t>SQL作成結果</t>
    <rPh sb="3" eb="5">
      <t xml:space="preserve">サクセイ </t>
    </rPh>
    <rPh sb="5" eb="7">
      <t xml:space="preserve">ケッカ </t>
    </rPh>
    <phoneticPr fontId="1"/>
  </si>
  <si>
    <t>Check
結果</t>
    <rPh sb="5" eb="7">
      <t xml:space="preserve">ケッカ </t>
    </rPh>
    <phoneticPr fontId="1"/>
  </si>
  <si>
    <t>ツール用</t>
    <rPh sb="3" eb="4">
      <t xml:space="preserve">ヨウ </t>
    </rPh>
    <phoneticPr fontId="1"/>
  </si>
  <si>
    <t>OS</t>
    <phoneticPr fontId="1"/>
  </si>
  <si>
    <t>機能要件</t>
    <rPh sb="0" eb="2">
      <t xml:space="preserve">キノウ </t>
    </rPh>
    <rPh sb="2" eb="4">
      <t xml:space="preserve">ヨウケン </t>
    </rPh>
    <phoneticPr fontId="1"/>
  </si>
  <si>
    <t>SQL文作成</t>
    <rPh sb="3" eb="4">
      <t xml:space="preserve">ブン </t>
    </rPh>
    <rPh sb="4" eb="6">
      <t xml:space="preserve">サクセイ </t>
    </rPh>
    <phoneticPr fontId="1"/>
  </si>
  <si>
    <t>入力シートの内容を別ブックで保存</t>
    <rPh sb="0" eb="2">
      <t xml:space="preserve">ニュウリョク </t>
    </rPh>
    <rPh sb="6" eb="8">
      <t xml:space="preserve">ナイヨウヲ </t>
    </rPh>
    <rPh sb="9" eb="10">
      <t xml:space="preserve">ベツブック </t>
    </rPh>
    <phoneticPr fontId="1"/>
  </si>
  <si>
    <t>別ブックで保存</t>
    <rPh sb="0" eb="1">
      <t xml:space="preserve">ベツ </t>
    </rPh>
    <rPh sb="5" eb="7">
      <t xml:space="preserve">ホゾン </t>
    </rPh>
    <phoneticPr fontId="1"/>
  </si>
  <si>
    <t>動作環境</t>
    <rPh sb="0" eb="2">
      <t xml:space="preserve">ドウサ </t>
    </rPh>
    <rPh sb="2" eb="4">
      <t xml:space="preserve">カンキョウ </t>
    </rPh>
    <phoneticPr fontId="1"/>
  </si>
  <si>
    <t>※以下の環境で動作することを確認</t>
    <rPh sb="1" eb="3">
      <t xml:space="preserve">イカノ </t>
    </rPh>
    <rPh sb="4" eb="6">
      <t xml:space="preserve">カンキョウガイデ </t>
    </rPh>
    <phoneticPr fontId="1"/>
  </si>
  <si>
    <t>MySQL</t>
    <phoneticPr fontId="1"/>
  </si>
  <si>
    <t>備考</t>
    <rPh sb="0" eb="2">
      <t xml:space="preserve">ビコウ </t>
    </rPh>
    <phoneticPr fontId="1"/>
  </si>
  <si>
    <t>機能</t>
    <rPh sb="0" eb="2">
      <t xml:space="preserve">キノウ </t>
    </rPh>
    <phoneticPr fontId="1"/>
  </si>
  <si>
    <t>大</t>
    <rPh sb="0" eb="1">
      <t xml:space="preserve">ダイ </t>
    </rPh>
    <phoneticPr fontId="1"/>
  </si>
  <si>
    <t>中</t>
    <rPh sb="0" eb="1">
      <t xml:space="preserve">チュウ </t>
    </rPh>
    <phoneticPr fontId="1"/>
  </si>
  <si>
    <t>入力されたテーブル定義情報の内容が正しいかチェック（簡易版）</t>
    <rPh sb="0" eb="1">
      <t xml:space="preserve">ニュウリョクサレタ </t>
    </rPh>
    <rPh sb="5" eb="9">
      <t>テーブルテ</t>
    </rPh>
    <rPh sb="9" eb="10">
      <t xml:space="preserve">テイギジョウホウガ </t>
    </rPh>
    <rPh sb="26" eb="28">
      <t xml:space="preserve">カンイ </t>
    </rPh>
    <rPh sb="28" eb="29">
      <t xml:space="preserve">バン </t>
    </rPh>
    <phoneticPr fontId="1"/>
  </si>
  <si>
    <t>カラム情報の入力値チェック</t>
    <rPh sb="3" eb="5">
      <t xml:space="preserve">ジョウホウ </t>
    </rPh>
    <rPh sb="6" eb="8">
      <t xml:space="preserve">ニュウリョクチェック </t>
    </rPh>
    <rPh sb="8" eb="9">
      <t xml:space="preserve">チ </t>
    </rPh>
    <phoneticPr fontId="1"/>
  </si>
  <si>
    <t>入力値チェック</t>
    <rPh sb="0" eb="2">
      <t xml:space="preserve">ニュウリョクチェック </t>
    </rPh>
    <rPh sb="2" eb="3">
      <t xml:space="preserve">チ </t>
    </rPh>
    <phoneticPr fontId="1"/>
  </si>
  <si>
    <t>テーブル情報の入力値チェック</t>
    <rPh sb="7" eb="10">
      <t xml:space="preserve">ニュウリョクチ </t>
    </rPh>
    <phoneticPr fontId="1"/>
  </si>
  <si>
    <t>テーブル情報の必須項目について値をチェック</t>
    <rPh sb="7" eb="9">
      <t xml:space="preserve">ヒッス </t>
    </rPh>
    <rPh sb="15" eb="16">
      <t xml:space="preserve">アタイヲ </t>
    </rPh>
    <phoneticPr fontId="1"/>
  </si>
  <si>
    <t>カラム情報の必須項目について値をチェック</t>
    <rPh sb="6" eb="8">
      <t xml:space="preserve">ヒッス </t>
    </rPh>
    <rPh sb="8" eb="10">
      <t xml:space="preserve">コウモクニツイテ </t>
    </rPh>
    <rPh sb="14" eb="15">
      <t xml:space="preserve">アタイヲ </t>
    </rPh>
    <phoneticPr fontId="1"/>
  </si>
  <si>
    <t>Create table SQL</t>
    <phoneticPr fontId="1"/>
  </si>
  <si>
    <t>CreateTableのSQL作成</t>
    <rPh sb="15" eb="17">
      <t xml:space="preserve">サクセイ </t>
    </rPh>
    <phoneticPr fontId="1"/>
  </si>
  <si>
    <t>テーブル作成のSQL文を自動で作成</t>
    <rPh sb="0" eb="17">
      <t xml:space="preserve">テーブルサクセイノ ブンヲ ジドウデサクセイ </t>
    </rPh>
    <phoneticPr fontId="1"/>
  </si>
  <si>
    <t>アクションボタン</t>
    <phoneticPr fontId="1"/>
  </si>
  <si>
    <t>「CreateSQL」ボタン</t>
    <phoneticPr fontId="1"/>
  </si>
  <si>
    <t>入力されたテーブル定義情報をもとに、SQL文を作成</t>
    <rPh sb="2" eb="4">
      <t xml:space="preserve">ジョウホウ </t>
    </rPh>
    <rPh sb="12" eb="13">
      <t xml:space="preserve">ブンヲ </t>
    </rPh>
    <phoneticPr fontId="1"/>
  </si>
  <si>
    <t>データ保存</t>
    <rPh sb="3" eb="5">
      <t xml:space="preserve">ホゾン </t>
    </rPh>
    <phoneticPr fontId="1"/>
  </si>
  <si>
    <t>入力されたテーブル定義書やSQL文を保存</t>
    <rPh sb="0" eb="2">
      <t xml:space="preserve">ニュウリョクサレタ </t>
    </rPh>
    <rPh sb="16" eb="17">
      <t xml:space="preserve">ブンヲ </t>
    </rPh>
    <rPh sb="18" eb="20">
      <t xml:space="preserve">ホゾンスル </t>
    </rPh>
    <phoneticPr fontId="1"/>
  </si>
  <si>
    <t>「Copy CreateSQL」ボタン</t>
    <phoneticPr fontId="1"/>
  </si>
  <si>
    <t>シート形式チェック</t>
    <rPh sb="3" eb="5">
      <t xml:space="preserve">ケイシキ </t>
    </rPh>
    <phoneticPr fontId="1"/>
  </si>
  <si>
    <t>入力シートの体裁が崩れていないかチェック</t>
    <rPh sb="0" eb="2">
      <t xml:space="preserve">ニュウリョクシートノ </t>
    </rPh>
    <rPh sb="6" eb="8">
      <t xml:space="preserve">テイサイガ </t>
    </rPh>
    <rPh sb="9" eb="10">
      <t xml:space="preserve">クズレテイナイカ </t>
    </rPh>
    <phoneticPr fontId="1"/>
  </si>
  <si>
    <t>同上</t>
    <rPh sb="0" eb="2">
      <t xml:space="preserve">ドウジョウ </t>
    </rPh>
    <phoneticPr fontId="1"/>
  </si>
  <si>
    <t>同上</t>
    <rPh sb="0" eb="1">
      <t xml:space="preserve">ドウジョウ </t>
    </rPh>
    <phoneticPr fontId="1"/>
  </si>
  <si>
    <t>各種ボタン</t>
    <rPh sb="0" eb="2">
      <t xml:space="preserve">カクシュ </t>
    </rPh>
    <phoneticPr fontId="1"/>
  </si>
  <si>
    <t>「Save Sheet」ボタン</t>
    <phoneticPr fontId="1"/>
  </si>
  <si>
    <t>説明（概要）</t>
    <rPh sb="0" eb="2">
      <t xml:space="preserve">セツメイ </t>
    </rPh>
    <rPh sb="3" eb="5">
      <t xml:space="preserve">ガイヨウ </t>
    </rPh>
    <phoneticPr fontId="1"/>
  </si>
  <si>
    <t>実装状況</t>
    <rPh sb="0" eb="2">
      <t xml:space="preserve">ジッソウズミ </t>
    </rPh>
    <rPh sb="2" eb="4">
      <t xml:space="preserve">ジョウキョウ </t>
    </rPh>
    <phoneticPr fontId="1"/>
  </si>
  <si>
    <t>制約事項</t>
    <rPh sb="0" eb="4">
      <t xml:space="preserve">セイヤクジコウ </t>
    </rPh>
    <phoneticPr fontId="1"/>
  </si>
  <si>
    <t>例）「m001_usr_masters」</t>
    <phoneticPr fontId="1"/>
  </si>
  <si>
    <t>・インデックス名はツールで定めるため、入力指定できません。</t>
    <rPh sb="7" eb="8">
      <t xml:space="preserve">メイ </t>
    </rPh>
    <rPh sb="13" eb="14">
      <t xml:space="preserve">サダメルタメ </t>
    </rPh>
    <rPh sb="19" eb="21">
      <t xml:space="preserve">ニュウリョク </t>
    </rPh>
    <rPh sb="21" eb="23">
      <t xml:space="preserve">シテイ </t>
    </rPh>
    <phoneticPr fontId="1"/>
  </si>
  <si>
    <t>例）「m001_index1」</t>
    <phoneticPr fontId="1"/>
  </si>
  <si>
    <t>・テーブル名、カラム名は、小文字の英数字と「_」のみ入力可（大文字は入力不可）とします。</t>
    <rPh sb="1" eb="2">
      <t xml:space="preserve">テーブルメイ </t>
    </rPh>
    <rPh sb="13" eb="16">
      <t xml:space="preserve">コモジノミ </t>
    </rPh>
    <rPh sb="17" eb="20">
      <t xml:space="preserve">エイスウジト </t>
    </rPh>
    <rPh sb="26" eb="28">
      <t xml:space="preserve">ニュウリョクカ </t>
    </rPh>
    <rPh sb="28" eb="29">
      <t xml:space="preserve">カ </t>
    </rPh>
    <rPh sb="30" eb="33">
      <t xml:space="preserve">オオモジ </t>
    </rPh>
    <rPh sb="34" eb="36">
      <t xml:space="preserve">ニュウリョク </t>
    </rPh>
    <rPh sb="36" eb="38">
      <t xml:space="preserve">フカ </t>
    </rPh>
    <phoneticPr fontId="1"/>
  </si>
  <si>
    <t>定義）［インデックス名］＝［テーブル識別子］＋「_index」＋自動連番（1〜3）</t>
    <rPh sb="0" eb="2">
      <t xml:space="preserve">テイギ </t>
    </rPh>
    <rPh sb="18" eb="20">
      <t xml:space="preserve">セントウ </t>
    </rPh>
    <rPh sb="21" eb="23">
      <t xml:space="preserve">モジ </t>
    </rPh>
    <rPh sb="34" eb="36">
      <t xml:space="preserve">ジドウ </t>
    </rPh>
    <rPh sb="36" eb="38">
      <t xml:space="preserve">レンバン </t>
    </rPh>
    <phoneticPr fontId="1"/>
  </si>
  <si>
    <t>・テーブル名の先頭4文字は、必ず「アルファベット1文字」「数字3桁」で入力してください。ツール上、これを「テーブル識別子」と定義します。</t>
    <rPh sb="57" eb="60">
      <t xml:space="preserve">シキベツシ </t>
    </rPh>
    <rPh sb="62" eb="64">
      <t xml:space="preserve">テイギ </t>
    </rPh>
    <phoneticPr fontId="1"/>
  </si>
  <si>
    <t>定義）［テーブル識別子］＝「アルファベット1文字」＋「数字3桁」</t>
    <rPh sb="0" eb="2">
      <t xml:space="preserve">テイギ </t>
    </rPh>
    <rPh sb="20" eb="22">
      <t xml:space="preserve">セントウ </t>
    </rPh>
    <rPh sb="23" eb="25">
      <t xml:space="preserve">モジ ジドウ レンバン </t>
    </rPh>
    <phoneticPr fontId="1"/>
  </si>
  <si>
    <t>データ型は、一部対応していないものがあります。型シートで対象に「○」がついているもののみ利用可能です。</t>
    <rPh sb="3" eb="4">
      <t xml:space="preserve">ガタ </t>
    </rPh>
    <rPh sb="6" eb="8">
      <t xml:space="preserve">イチブ </t>
    </rPh>
    <rPh sb="8" eb="10">
      <t xml:space="preserve">タイオウ </t>
    </rPh>
    <rPh sb="23" eb="24">
      <t xml:space="preserve">カタ </t>
    </rPh>
    <rPh sb="28" eb="30">
      <t xml:space="preserve">タイショウ </t>
    </rPh>
    <rPh sb="44" eb="46">
      <t xml:space="preserve">リヨウデキマス </t>
    </rPh>
    <rPh sb="46" eb="48">
      <t xml:space="preserve">カノウ </t>
    </rPh>
    <phoneticPr fontId="1"/>
  </si>
  <si>
    <t>理由）出力時のシート名で利用、かつインデックスの識別子（一部）に利用していますので、値が正しくないと動作しません。</t>
    <phoneticPr fontId="1"/>
  </si>
  <si>
    <t>・インデックス数は最大3件まで、一つのインデックスにおけるカラム数は最大10件までです。</t>
    <rPh sb="1" eb="2">
      <t>インデックスウス</t>
    </rPh>
    <rPh sb="7" eb="8">
      <t xml:space="preserve">スウ </t>
    </rPh>
    <rPh sb="9" eb="11">
      <t xml:space="preserve">サイダイ </t>
    </rPh>
    <rPh sb="12" eb="13">
      <t xml:space="preserve">ケン </t>
    </rPh>
    <rPh sb="16" eb="17">
      <t xml:space="preserve">ヒトツノ </t>
    </rPh>
    <rPh sb="32" eb="33">
      <t xml:space="preserve">スウ </t>
    </rPh>
    <rPh sb="34" eb="36">
      <t xml:space="preserve">サイダイ </t>
    </rPh>
    <rPh sb="38" eb="39">
      <t xml:space="preserve">ケン </t>
    </rPh>
    <phoneticPr fontId="1"/>
  </si>
  <si>
    <t>・複合主キーのカラム数の上限は最大5件までです。</t>
    <rPh sb="1" eb="3">
      <t xml:space="preserve">フクゴウ </t>
    </rPh>
    <rPh sb="3" eb="4">
      <t xml:space="preserve">シュキー </t>
    </rPh>
    <rPh sb="12" eb="14">
      <t xml:space="preserve">ジョウゲンハ </t>
    </rPh>
    <rPh sb="15" eb="17">
      <t xml:space="preserve">サイダイ </t>
    </rPh>
    <rPh sb="18" eb="19">
      <t xml:space="preserve">ケン </t>
    </rPh>
    <phoneticPr fontId="1"/>
  </si>
  <si>
    <t>・カラム数の上限は最大50件までです。</t>
    <rPh sb="6" eb="8">
      <t xml:space="preserve">ジョウゲンハ </t>
    </rPh>
    <rPh sb="9" eb="11">
      <t xml:space="preserve">サイダイ </t>
    </rPh>
    <rPh sb="13" eb="14">
      <t xml:space="preserve">ケンマデ </t>
    </rPh>
    <phoneticPr fontId="1"/>
  </si>
  <si>
    <t>○</t>
  </si>
  <si>
    <t>ツール動作の安定化を図るため、以下のルールに沿った入力制限を設けています。</t>
    <rPh sb="3" eb="5">
      <t xml:space="preserve">ドウサヲ </t>
    </rPh>
    <rPh sb="6" eb="9">
      <t xml:space="preserve">アンテイカ </t>
    </rPh>
    <rPh sb="10" eb="11">
      <t xml:space="preserve">ハカル </t>
    </rPh>
    <rPh sb="15" eb="17">
      <t xml:space="preserve">イカノ </t>
    </rPh>
    <rPh sb="22" eb="23">
      <t xml:space="preserve">ソッタ </t>
    </rPh>
    <rPh sb="25" eb="27">
      <t xml:space="preserve">ニュウリョク </t>
    </rPh>
    <rPh sb="30" eb="31">
      <t xml:space="preserve">モウケテ </t>
    </rPh>
    <phoneticPr fontId="1"/>
  </si>
  <si>
    <t>※ご要望をいただければ、できる限り対応させていただきます</t>
    <rPh sb="17" eb="19">
      <t xml:space="preserve">タイオウシマス </t>
    </rPh>
    <phoneticPr fontId="1"/>
  </si>
  <si>
    <t>ID</t>
    <phoneticPr fontId="1"/>
  </si>
  <si>
    <t>INDEX
1</t>
    <phoneticPr fontId="1"/>
  </si>
  <si>
    <t>INDEX
2</t>
    <phoneticPr fontId="1"/>
  </si>
  <si>
    <t>INDEX
3</t>
    <phoneticPr fontId="1"/>
  </si>
  <si>
    <t>実行結果</t>
    <rPh sb="0" eb="4">
      <t xml:space="preserve">ジッコウケッカ </t>
    </rPh>
    <phoneticPr fontId="1"/>
  </si>
  <si>
    <t>SQL文</t>
    <rPh sb="0" eb="3">
      <t>SQL</t>
    </rPh>
    <rPh sb="3" eb="4">
      <t xml:space="preserve">ブン </t>
    </rPh>
    <phoneticPr fontId="1"/>
  </si>
  <si>
    <t>(M)</t>
    <phoneticPr fontId="1"/>
  </si>
  <si>
    <t>(D)</t>
    <phoneticPr fontId="1"/>
  </si>
  <si>
    <t>ー</t>
  </si>
  <si>
    <r>
      <t>TIME[(</t>
    </r>
    <r>
      <rPr>
        <b/>
        <sz val="14"/>
        <color theme="1"/>
        <rFont val="メイリオ"/>
        <family val="2"/>
        <charset val="128"/>
      </rPr>
      <t>fsp</t>
    </r>
    <r>
      <rPr>
        <sz val="14"/>
        <color theme="1"/>
        <rFont val="メイリオ"/>
        <family val="2"/>
        <charset val="128"/>
      </rPr>
      <t>)]</t>
    </r>
    <phoneticPr fontId="1"/>
  </si>
  <si>
    <r>
      <t>DATETIME[(</t>
    </r>
    <r>
      <rPr>
        <b/>
        <sz val="12"/>
        <color rgb="FF000000"/>
        <rFont val="メイリオ"/>
        <family val="2"/>
        <charset val="128"/>
      </rPr>
      <t>fsp</t>
    </r>
    <r>
      <rPr>
        <sz val="13"/>
        <color rgb="FF000000"/>
        <rFont val="メイリオ"/>
        <family val="2"/>
        <charset val="128"/>
      </rPr>
      <t>)]</t>
    </r>
    <phoneticPr fontId="1"/>
  </si>
  <si>
    <t>・日付・時間型の小数秒 (fsp) については、初期値0とします。（※）MySQL 5.6.4以降しかない機能であるため</t>
    <rPh sb="47" eb="49">
      <t xml:space="preserve">イコウ </t>
    </rPh>
    <rPh sb="53" eb="55">
      <t xml:space="preserve">キノウ </t>
    </rPh>
    <phoneticPr fontId="1"/>
  </si>
  <si>
    <r>
      <t>DOUBLE PRECISION[(</t>
    </r>
    <r>
      <rPr>
        <b/>
        <sz val="14"/>
        <color theme="1"/>
        <rFont val="メイリオ"/>
        <family val="2"/>
        <charset val="128"/>
      </rPr>
      <t>M,D</t>
    </r>
    <r>
      <rPr>
        <sz val="14"/>
        <color theme="1"/>
        <rFont val="メイリオ"/>
        <family val="2"/>
        <charset val="128"/>
      </rPr>
      <t>)], REAL[</t>
    </r>
    <r>
      <rPr>
        <b/>
        <sz val="14"/>
        <color theme="1"/>
        <rFont val="メイリオ"/>
        <family val="2"/>
        <charset val="128"/>
      </rPr>
      <t>(M,D</t>
    </r>
    <r>
      <rPr>
        <sz val="14"/>
        <color theme="1"/>
        <rFont val="メイリオ"/>
        <family val="2"/>
        <charset val="128"/>
      </rPr>
      <t xml:space="preserve">)] </t>
    </r>
    <phoneticPr fontId="1"/>
  </si>
  <si>
    <r>
      <t>DEC[(M[,D])]
, NUMERIC[(</t>
    </r>
    <r>
      <rPr>
        <b/>
        <sz val="14"/>
        <color theme="1"/>
        <rFont val="メイリオ"/>
        <family val="2"/>
        <charset val="128"/>
      </rPr>
      <t>M[,D</t>
    </r>
    <r>
      <rPr>
        <sz val="14"/>
        <color theme="1"/>
        <rFont val="メイリオ"/>
        <family val="2"/>
        <charset val="128"/>
      </rPr>
      <t>])] 
, FIXED[(</t>
    </r>
    <r>
      <rPr>
        <b/>
        <sz val="14"/>
        <color theme="1"/>
        <rFont val="メイリオ"/>
        <family val="2"/>
        <charset val="128"/>
      </rPr>
      <t>M[,D</t>
    </r>
    <r>
      <rPr>
        <sz val="14"/>
        <color theme="1"/>
        <rFont val="メイリオ"/>
        <family val="2"/>
        <charset val="128"/>
      </rPr>
      <t>])]</t>
    </r>
    <phoneticPr fontId="1"/>
  </si>
  <si>
    <r>
      <t>FLOAT</t>
    </r>
    <r>
      <rPr>
        <b/>
        <sz val="14"/>
        <color theme="1"/>
        <rFont val="メイリオ"/>
        <family val="2"/>
        <charset val="128"/>
      </rPr>
      <t>(p</t>
    </r>
    <r>
      <rPr>
        <sz val="14"/>
        <color theme="1"/>
        <rFont val="メイリオ"/>
        <family val="2"/>
        <charset val="128"/>
      </rPr>
      <t>)</t>
    </r>
    <phoneticPr fontId="1"/>
  </si>
  <si>
    <t>・FLOAT型は対応していません。可能であれば、Double型を利用ください。</t>
    <rPh sb="17" eb="19">
      <t xml:space="preserve">カノウデアレバ </t>
    </rPh>
    <rPh sb="30" eb="31">
      <t xml:space="preserve">ガタヲ </t>
    </rPh>
    <phoneticPr fontId="1"/>
  </si>
  <si>
    <t>・データ型の入力は、型分類を選択してから選択してください。型分類を選択しないと、データ型のリストは表示されません。</t>
    <rPh sb="10" eb="13">
      <t xml:space="preserve">カタブンルイヲ </t>
    </rPh>
    <rPh sb="14" eb="56">
      <t xml:space="preserve">センタクゴニ </t>
    </rPh>
    <phoneticPr fontId="1"/>
  </si>
  <si>
    <t>DATETIME</t>
    <phoneticPr fontId="1"/>
  </si>
  <si>
    <t>TIMESTAMP</t>
    <phoneticPr fontId="1"/>
  </si>
  <si>
    <t>TIME</t>
    <phoneticPr fontId="1"/>
  </si>
  <si>
    <r>
      <t>BIT(</t>
    </r>
    <r>
      <rPr>
        <b/>
        <sz val="14"/>
        <color rgb="FF000000"/>
        <rFont val="Meiryo UI"/>
        <family val="2"/>
        <charset val="128"/>
      </rPr>
      <t>M</t>
    </r>
    <r>
      <rPr>
        <sz val="14"/>
        <color rgb="FF000000"/>
        <rFont val="Meiryo UI"/>
        <family val="2"/>
        <charset val="128"/>
      </rPr>
      <t>)</t>
    </r>
    <phoneticPr fontId="1"/>
  </si>
  <si>
    <r>
      <t>DECIMAL[(</t>
    </r>
    <r>
      <rPr>
        <b/>
        <sz val="14"/>
        <color theme="1"/>
        <rFont val="メイリオ"/>
        <family val="2"/>
        <charset val="128"/>
      </rPr>
      <t>M[,D</t>
    </r>
    <r>
      <rPr>
        <sz val="14"/>
        <color theme="1"/>
        <rFont val="メイリオ"/>
        <family val="2"/>
        <charset val="128"/>
      </rPr>
      <t xml:space="preserve">])] </t>
    </r>
    <phoneticPr fontId="1"/>
  </si>
  <si>
    <r>
      <t>DOUBLE[(</t>
    </r>
    <r>
      <rPr>
        <b/>
        <sz val="14"/>
        <color theme="1"/>
        <rFont val="メイリオ"/>
        <family val="2"/>
        <charset val="128"/>
      </rPr>
      <t>M,D</t>
    </r>
    <r>
      <rPr>
        <sz val="14"/>
        <color theme="1"/>
        <rFont val="メイリオ"/>
        <family val="2"/>
        <charset val="128"/>
      </rPr>
      <t>)]</t>
    </r>
    <phoneticPr fontId="1"/>
  </si>
  <si>
    <t>TINYINT(M)</t>
  </si>
  <si>
    <t>YEAR(4)</t>
  </si>
  <si>
    <r>
      <t>CHAR(</t>
    </r>
    <r>
      <rPr>
        <b/>
        <sz val="14"/>
        <color rgb="FF000000"/>
        <rFont val="Meiryo UI"/>
        <family val="2"/>
        <charset val="128"/>
      </rPr>
      <t>M</t>
    </r>
    <r>
      <rPr>
        <sz val="14"/>
        <color rgb="FF000000"/>
        <rFont val="Meiryo UI"/>
        <family val="2"/>
        <charset val="128"/>
      </rPr>
      <t>)</t>
    </r>
    <phoneticPr fontId="1"/>
  </si>
  <si>
    <r>
      <t>BLOB(</t>
    </r>
    <r>
      <rPr>
        <b/>
        <sz val="14"/>
        <color rgb="FF000000"/>
        <rFont val="Meiryo UI"/>
        <family val="2"/>
        <charset val="128"/>
      </rPr>
      <t>M</t>
    </r>
    <r>
      <rPr>
        <sz val="14"/>
        <color rgb="FF000000"/>
        <rFont val="Meiryo UI"/>
        <family val="2"/>
        <charset val="128"/>
      </rPr>
      <t>)</t>
    </r>
    <phoneticPr fontId="1"/>
  </si>
  <si>
    <r>
      <t>TEXT(</t>
    </r>
    <r>
      <rPr>
        <b/>
        <sz val="14"/>
        <color rgb="FF000000"/>
        <rFont val="Meiryo UI"/>
        <family val="2"/>
        <charset val="128"/>
      </rPr>
      <t>M</t>
    </r>
    <r>
      <rPr>
        <sz val="14"/>
        <color rgb="FF000000"/>
        <rFont val="Meiryo UI"/>
        <family val="2"/>
        <charset val="128"/>
      </rPr>
      <t xml:space="preserve">) </t>
    </r>
    <phoneticPr fontId="1"/>
  </si>
  <si>
    <r>
      <t>TINYINT(</t>
    </r>
    <r>
      <rPr>
        <b/>
        <sz val="14"/>
        <color rgb="FF000000"/>
        <rFont val="Meiryo UI"/>
        <family val="2"/>
        <charset val="128"/>
      </rPr>
      <t>M</t>
    </r>
    <r>
      <rPr>
        <sz val="14"/>
        <color rgb="FF000000"/>
        <rFont val="Meiryo UI"/>
        <family val="2"/>
        <charset val="128"/>
      </rPr>
      <t>)</t>
    </r>
    <phoneticPr fontId="1"/>
  </si>
  <si>
    <r>
      <t>SMALLINT(</t>
    </r>
    <r>
      <rPr>
        <b/>
        <sz val="14"/>
        <color rgb="FF000000"/>
        <rFont val="Meiryo UI"/>
        <family val="2"/>
        <charset val="128"/>
      </rPr>
      <t>M</t>
    </r>
    <r>
      <rPr>
        <sz val="14"/>
        <color rgb="FF000000"/>
        <rFont val="Meiryo UI"/>
        <family val="2"/>
        <charset val="128"/>
      </rPr>
      <t xml:space="preserve">) </t>
    </r>
    <phoneticPr fontId="1"/>
  </si>
  <si>
    <r>
      <t>MEDIUMINT(</t>
    </r>
    <r>
      <rPr>
        <b/>
        <sz val="14"/>
        <color rgb="FF000000"/>
        <rFont val="Meiryo UI"/>
        <family val="2"/>
        <charset val="128"/>
      </rPr>
      <t>M</t>
    </r>
    <r>
      <rPr>
        <sz val="14"/>
        <color rgb="FF000000"/>
        <rFont val="Meiryo UI"/>
        <family val="2"/>
        <charset val="128"/>
      </rPr>
      <t xml:space="preserve">) </t>
    </r>
    <phoneticPr fontId="1"/>
  </si>
  <si>
    <r>
      <t>INT(</t>
    </r>
    <r>
      <rPr>
        <b/>
        <sz val="14"/>
        <color theme="1"/>
        <rFont val="Meiryo UI"/>
        <family val="2"/>
        <charset val="128"/>
      </rPr>
      <t>M</t>
    </r>
    <r>
      <rPr>
        <sz val="14"/>
        <color theme="1"/>
        <rFont val="Meiryo UI"/>
        <family val="2"/>
        <charset val="128"/>
      </rPr>
      <t>)</t>
    </r>
    <phoneticPr fontId="1"/>
  </si>
  <si>
    <r>
      <t>BIGINT(</t>
    </r>
    <r>
      <rPr>
        <b/>
        <sz val="14"/>
        <color rgb="FF000000"/>
        <rFont val="Meiryo UI"/>
        <family val="2"/>
        <charset val="128"/>
      </rPr>
      <t>M</t>
    </r>
    <r>
      <rPr>
        <sz val="14"/>
        <color rgb="FF000000"/>
        <rFont val="Meiryo UI"/>
        <family val="2"/>
        <charset val="128"/>
      </rPr>
      <t xml:space="preserve">) </t>
    </r>
    <phoneticPr fontId="1"/>
  </si>
  <si>
    <r>
      <t>DOUBLE(</t>
    </r>
    <r>
      <rPr>
        <b/>
        <sz val="14"/>
        <color theme="1"/>
        <rFont val="Meiryo UI"/>
        <family val="2"/>
        <charset val="128"/>
      </rPr>
      <t>M</t>
    </r>
    <r>
      <rPr>
        <sz val="14"/>
        <color theme="1"/>
        <rFont val="Meiryo UI"/>
        <family val="2"/>
        <charset val="128"/>
      </rPr>
      <t>,</t>
    </r>
    <r>
      <rPr>
        <b/>
        <sz val="14"/>
        <color theme="1"/>
        <rFont val="Meiryo UI"/>
        <family val="2"/>
        <charset val="128"/>
      </rPr>
      <t>D</t>
    </r>
    <r>
      <rPr>
        <sz val="14"/>
        <color theme="1"/>
        <rFont val="Meiryo UI"/>
        <family val="2"/>
        <charset val="128"/>
      </rPr>
      <t>)</t>
    </r>
    <phoneticPr fontId="1"/>
  </si>
  <si>
    <t>DOUBLE(M,D)</t>
  </si>
  <si>
    <r>
      <t>DECIMAL(</t>
    </r>
    <r>
      <rPr>
        <b/>
        <sz val="14"/>
        <color theme="1"/>
        <rFont val="Meiryo UI"/>
        <family val="2"/>
        <charset val="128"/>
      </rPr>
      <t>M</t>
    </r>
    <r>
      <rPr>
        <sz val="14"/>
        <color theme="1"/>
        <rFont val="Meiryo UI"/>
        <family val="2"/>
        <charset val="128"/>
      </rPr>
      <t>,</t>
    </r>
    <r>
      <rPr>
        <b/>
        <sz val="14"/>
        <color theme="1"/>
        <rFont val="Meiryo UI"/>
        <family val="2"/>
        <charset val="128"/>
      </rPr>
      <t>D</t>
    </r>
    <r>
      <rPr>
        <sz val="14"/>
        <color theme="1"/>
        <rFont val="Meiryo UI"/>
        <family val="2"/>
        <charset val="128"/>
      </rPr>
      <t xml:space="preserve">) </t>
    </r>
    <phoneticPr fontId="1"/>
  </si>
  <si>
    <t xml:space="preserve">DECIMAL(M,D) </t>
  </si>
  <si>
    <t>符号なし
UNSIGNED</t>
    <rPh sb="0" eb="2">
      <t xml:space="preserve">フゴウナシ </t>
    </rPh>
    <phoneticPr fontId="1"/>
  </si>
  <si>
    <t>ゼロ埋め
ZEROFILL</t>
    <phoneticPr fontId="1"/>
  </si>
  <si>
    <r>
      <t xml:space="preserve">(M)
</t>
    </r>
    <r>
      <rPr>
        <b/>
        <sz val="9"/>
        <color theme="0"/>
        <rFont val="Meiryo UI"/>
        <family val="2"/>
        <charset val="128"/>
      </rPr>
      <t>数値：最大表示幅
文字：最大長</t>
    </r>
    <rPh sb="4" eb="6">
      <t xml:space="preserve">スウチオ </t>
    </rPh>
    <rPh sb="7" eb="9">
      <t xml:space="preserve">サイダイ </t>
    </rPh>
    <rPh sb="9" eb="11">
      <t xml:space="preserve">ヒョウジ </t>
    </rPh>
    <rPh sb="11" eb="12">
      <t/>
    </rPh>
    <rPh sb="12" eb="14">
      <t xml:space="preserve">モジ </t>
    </rPh>
    <rPh sb="16" eb="19">
      <t xml:space="preserve">サイダイチョウ </t>
    </rPh>
    <phoneticPr fontId="1"/>
  </si>
  <si>
    <r>
      <t xml:space="preserve">(D)
</t>
    </r>
    <r>
      <rPr>
        <b/>
        <sz val="10"/>
        <color theme="0"/>
        <rFont val="Meiryo UI"/>
        <family val="2"/>
        <charset val="128"/>
      </rPr>
      <t>小数点以下
桁数</t>
    </r>
    <rPh sb="3" eb="8">
      <t xml:space="preserve">ショウスウテンイカ </t>
    </rPh>
    <rPh sb="9" eb="11">
      <t xml:space="preserve">ケタスウ </t>
    </rPh>
    <phoneticPr fontId="1"/>
  </si>
  <si>
    <t>初期値
DEFAULT</t>
    <rPh sb="0" eb="3">
      <t xml:space="preserve">ショキチ </t>
    </rPh>
    <phoneticPr fontId="1"/>
  </si>
  <si>
    <t>test</t>
    <phoneticPr fontId="1"/>
  </si>
  <si>
    <t>test2</t>
    <phoneticPr fontId="1"/>
  </si>
  <si>
    <t>ダブル型てすと</t>
    <rPh sb="3" eb="4">
      <t xml:space="preserve">ガタ </t>
    </rPh>
    <phoneticPr fontId="1"/>
  </si>
  <si>
    <t>デシマルテスト</t>
    <phoneticPr fontId="1"/>
  </si>
  <si>
    <t>【MySQLテーブル定義ツール】仕様</t>
    <rPh sb="1" eb="4">
      <t>サクセイヨウ</t>
    </rPh>
    <rPh sb="10" eb="12">
      <t xml:space="preserve">テイギ </t>
    </rPh>
    <rPh sb="16" eb="18">
      <t xml:space="preserve">シヨウショ </t>
    </rPh>
    <phoneticPr fontId="1"/>
  </si>
  <si>
    <t>・MySQLのバージョンが「8.0」以降かつ文字コードが「UTF8」の場合、CHARSET は「UTF8mb4」が選択されていないとエラー扱いとします。</t>
    <rPh sb="18" eb="20">
      <t xml:space="preserve">イコウ </t>
    </rPh>
    <phoneticPr fontId="1"/>
  </si>
  <si>
    <t>UNSIGNED</t>
    <phoneticPr fontId="1"/>
  </si>
  <si>
    <t>NOT NULL</t>
    <phoneticPr fontId="1"/>
  </si>
  <si>
    <t>テーブル区分 *</t>
    <rPh sb="4" eb="6">
      <t xml:space="preserve">クブン </t>
    </rPh>
    <phoneticPr fontId="1"/>
  </si>
  <si>
    <t>処理日時</t>
    <rPh sb="0" eb="4">
      <t xml:space="preserve">ショリニチジ </t>
    </rPh>
    <phoneticPr fontId="1"/>
  </si>
  <si>
    <t>処理結果</t>
    <rPh sb="0" eb="1">
      <t xml:space="preserve">ショリケッカ </t>
    </rPh>
    <phoneticPr fontId="1"/>
  </si>
  <si>
    <t>結果詳細</t>
    <rPh sb="0" eb="4">
      <t xml:space="preserve">ケッカショウサイ </t>
    </rPh>
    <phoneticPr fontId="1"/>
  </si>
  <si>
    <t>OK</t>
    <phoneticPr fontId="1"/>
  </si>
  <si>
    <t>SQL文の作成に成功しました！</t>
    <phoneticPr fontId="1"/>
  </si>
  <si>
    <t>※コピー後、選択状態のセルをクリアするときには「ESC」キーをクリックしてください。</t>
    <rPh sb="4" eb="5">
      <t xml:space="preserve">ゴ </t>
    </rPh>
    <rPh sb="6" eb="10">
      <t xml:space="preserve">センタクジョウタイノ </t>
    </rPh>
    <phoneticPr fontId="1"/>
  </si>
  <si>
    <t>agure</t>
    <phoneticPr fontId="1"/>
  </si>
  <si>
    <t>2019/2/28</t>
    <phoneticPr fontId="1"/>
  </si>
  <si>
    <t>完了</t>
    <rPh sb="0" eb="2">
      <t xml:space="preserve">カンリョウ </t>
    </rPh>
    <phoneticPr fontId="1"/>
  </si>
  <si>
    <t>完了</t>
    <rPh sb="0" eb="1">
      <t xml:space="preserve">カンリョウ </t>
    </rPh>
    <phoneticPr fontId="1"/>
  </si>
  <si>
    <t>SQL文コピー</t>
    <rPh sb="3" eb="4">
      <t xml:space="preserve">ブン </t>
    </rPh>
    <phoneticPr fontId="1"/>
  </si>
  <si>
    <t>CreateTableのSQL文をコピー</t>
    <rPh sb="15" eb="16">
      <t xml:space="preserve">ブンヲ </t>
    </rPh>
    <phoneticPr fontId="1"/>
  </si>
  <si>
    <t>Mac</t>
    <phoneticPr fontId="1"/>
  </si>
  <si>
    <t>新規作成（最小機能）</t>
    <rPh sb="0" eb="4">
      <t xml:space="preserve">シンキサクセイ </t>
    </rPh>
    <rPh sb="5" eb="9">
      <t xml:space="preserve">サイショウキノウ </t>
    </rPh>
    <phoneticPr fontId="1"/>
  </si>
  <si>
    <t>TABLE</t>
  </si>
  <si>
    <t>)</t>
  </si>
  <si>
    <t xml:space="preserve"> ENGINE = InnoDB</t>
  </si>
  <si>
    <t>;</t>
  </si>
  <si>
    <t xml:space="preserve"> id BIGINT AUTO_INCREMENT UNSIGNED NOT NULL COMMENT 'ユニークID'</t>
  </si>
  <si>
    <t xml:space="preserve"> , user_id VARCHAR(10) COMMENT '利用者ID'</t>
  </si>
  <si>
    <t xml:space="preserve"> , user_name VARCHAR(10) COMMENT '利用者名'</t>
  </si>
  <si>
    <t xml:space="preserve"> , is_used TINYINT(1) COMMENT '有効フラグ'</t>
  </si>
  <si>
    <t xml:space="preserve"> , created DATE COMMENT '登録日時'</t>
  </si>
  <si>
    <t xml:space="preserve"> , created_user_id VARCHAR(30) COMMENT '登録者ID'</t>
  </si>
  <si>
    <t xml:space="preserve"> , updated DATE COMMENT '更新日時'</t>
  </si>
  <si>
    <t xml:space="preserve"> , updated_user_id VARCHAR(30) COMMENT '更新者ID'</t>
  </si>
  <si>
    <t xml:space="preserve"> , memo VARCHAR(50) COMMENT 'コメント'</t>
  </si>
  <si>
    <t xml:space="preserve"> , test DECIMAL(10,2)  COMMENT 'デシマルテスト'</t>
  </si>
  <si>
    <t xml:space="preserve"> , PRIMARY KEY (id) </t>
  </si>
  <si>
    <t xml:space="preserve"> , INDEX m000_INDEX1 (user_id , is_used) </t>
  </si>
  <si>
    <t xml:space="preserve"> CHARACTER SET = utf8mb4</t>
  </si>
  <si>
    <t xml:space="preserve"> COMMENT = 'M000ユーザマスタ'</t>
  </si>
  <si>
    <t>保留</t>
    <rPh sb="0" eb="2">
      <t xml:space="preserve">ホリュウ </t>
    </rPh>
    <phoneticPr fontId="1"/>
  </si>
  <si>
    <t>Mac /Win</t>
    <phoneticPr fontId="1"/>
  </si>
  <si>
    <t>リリース前検証用</t>
    <rPh sb="5" eb="7">
      <t xml:space="preserve">ケンショウ </t>
    </rPh>
    <rPh sb="7" eb="8">
      <t xml:space="preserve">ヨウ </t>
    </rPh>
    <phoneticPr fontId="1"/>
  </si>
  <si>
    <t xml:space="preserve"> , test2 DOUBLE(3,3) COMMENT 'ダブル型てすと'</t>
  </si>
  <si>
    <t>testdb</t>
    <phoneticPr fontId="1"/>
  </si>
  <si>
    <t>CREATE TABLE testdb.m000_sample (</t>
  </si>
  <si>
    <t>2019/3/11 22:13</t>
    <phoneticPr fontId="1"/>
  </si>
  <si>
    <t>使い方</t>
    <rPh sb="0" eb="1">
      <t xml:space="preserve">ツカイカタ </t>
    </rPh>
    <phoneticPr fontId="1"/>
  </si>
  <si>
    <t>※シート名はご自由に設定して構いません。ただし、テーブル名は制約事項2をご確認の上設定してください。</t>
    <rPh sb="10" eb="12">
      <t xml:space="preserve">セッテイシテ </t>
    </rPh>
    <rPh sb="14" eb="15">
      <t xml:space="preserve">カマイマセン </t>
    </rPh>
    <phoneticPr fontId="1"/>
  </si>
  <si>
    <t>コピーしたシート上で、テーブル情報とカラム情報を入力後、「CreateSQL」ボタンをクリックするとSQL文が自動で作成されます。</t>
    <rPh sb="24" eb="26">
      <t xml:space="preserve">ニュウリョク </t>
    </rPh>
    <rPh sb="26" eb="27">
      <t xml:space="preserve">ゴ </t>
    </rPh>
    <rPh sb="53" eb="54">
      <t xml:space="preserve">ブンガ </t>
    </rPh>
    <rPh sb="55" eb="57">
      <t xml:space="preserve">ジドウデサクセイサレマス </t>
    </rPh>
    <phoneticPr fontId="1"/>
  </si>
  <si>
    <t>初回公開</t>
    <rPh sb="0" eb="2">
      <t xml:space="preserve">ショカイ </t>
    </rPh>
    <rPh sb="2" eb="4">
      <t xml:space="preserve">コウカイ </t>
    </rPh>
    <phoneticPr fontId="1"/>
  </si>
  <si>
    <t>1.0.0</t>
    <phoneticPr fontId="1"/>
  </si>
  <si>
    <t>0.0.2</t>
    <phoneticPr fontId="1"/>
  </si>
  <si>
    <t>0.0.1</t>
    <phoneticPr fontId="1"/>
  </si>
  <si>
    <t>「Template」シートをコピーして、シート名をつけます（例えば、m001_usersテーブルを作成する際はシート名を「m001」とする）。</t>
    <rPh sb="30" eb="31">
      <t xml:space="preserve">レイ </t>
    </rPh>
    <rPh sb="49" eb="51">
      <t xml:space="preserve">サクセイスルサイハ セイヤクジコウノ セッテイ </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</si>
</sst>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
    <numFmt numFmtId="177" formatCode="&quot;対象外：&quot;\ 00\ &quot;件&quot;"/>
    <numFmt numFmtId="178" formatCode="&quot;対象　：&quot;\ 00\ &quot;件&quot;"/>
    <numFmt numFmtId="179" formatCode="&quot;全件　：&quot;\ 00\ &quot;件&quot;"/>
  </numFmts>
  <fonts count="53">
    <font>
      <sz val="12"/>
      <color theme="1"/>
      <name val="游ゴシック"/>
      <family val="2"/>
      <charset val="128"/>
      <scheme val="minor"/>
    </font>
    <font>
      <sz val="6"/>
      <name val="游ゴシック"/>
      <family val="2"/>
      <charset val="128"/>
      <scheme val="minor"/>
    </font>
    <font>
      <b/>
      <sz val="20"/>
      <color theme="1"/>
      <name val="Meiryo UI"/>
      <family val="2"/>
      <charset val="128"/>
    </font>
    <font>
      <sz val="12"/>
      <color theme="1"/>
      <name val="Meiryo UI"/>
      <family val="2"/>
      <charset val="128"/>
    </font>
    <font>
      <b/>
      <sz val="12"/>
      <color theme="0"/>
      <name val="Meiryo UI"/>
      <family val="2"/>
      <charset val="128"/>
    </font>
    <font>
      <sz val="12"/>
      <color theme="0"/>
      <name val="Meiryo UI"/>
      <family val="2"/>
      <charset val="128"/>
    </font>
    <font>
      <b/>
      <sz val="10"/>
      <color theme="0"/>
      <name val="Meiryo UI"/>
      <family val="2"/>
      <charset val="128"/>
    </font>
    <font>
      <sz val="13"/>
      <color rgb="FF000000"/>
      <name val="メイリオ"/>
      <family val="2"/>
      <charset val="128"/>
    </font>
    <font>
      <b/>
      <i/>
      <sz val="12"/>
      <color rgb="FF000000"/>
      <name val="メイリオ"/>
      <family val="2"/>
      <charset val="128"/>
    </font>
    <font>
      <sz val="12"/>
      <color theme="1"/>
      <name val="メイリオ"/>
      <family val="2"/>
      <charset val="128"/>
    </font>
    <font>
      <sz val="14"/>
      <color rgb="FF000000"/>
      <name val="メイリオ"/>
      <family val="2"/>
      <charset val="128"/>
    </font>
    <font>
      <b/>
      <sz val="12"/>
      <color rgb="FFFF0000"/>
      <name val="メイリオ"/>
      <family val="2"/>
      <charset val="128"/>
    </font>
    <font>
      <b/>
      <sz val="13"/>
      <color rgb="FF0070C0"/>
      <name val="メイリオ"/>
      <family val="2"/>
      <charset val="128"/>
    </font>
    <font>
      <b/>
      <sz val="12"/>
      <color rgb="FF0070C0"/>
      <name val="メイリオ"/>
      <family val="2"/>
      <charset val="128"/>
    </font>
    <font>
      <sz val="12"/>
      <color rgb="FF000000"/>
      <name val="メイリオ"/>
      <family val="2"/>
      <charset val="128"/>
    </font>
    <font>
      <sz val="14"/>
      <color theme="1"/>
      <name val="メイリオ"/>
      <family val="2"/>
      <charset val="128"/>
    </font>
    <font>
      <b/>
      <sz val="36"/>
      <color theme="1"/>
      <name val="メイリオ"/>
      <family val="2"/>
      <charset val="128"/>
    </font>
    <font>
      <sz val="12"/>
      <color theme="0"/>
      <name val="メイリオ"/>
      <family val="2"/>
      <charset val="128"/>
    </font>
    <font>
      <sz val="14"/>
      <color theme="0"/>
      <name val="メイリオ"/>
      <family val="2"/>
      <charset val="128"/>
    </font>
    <font>
      <b/>
      <sz val="12"/>
      <color theme="9"/>
      <name val="メイリオ"/>
      <family val="2"/>
      <charset val="128"/>
    </font>
    <font>
      <sz val="13"/>
      <color theme="1"/>
      <name val="メイリオ"/>
      <family val="2"/>
      <charset val="128"/>
    </font>
    <font>
      <b/>
      <sz val="13"/>
      <color rgb="FF7030A0"/>
      <name val="メイリオ"/>
      <family val="2"/>
      <charset val="128"/>
    </font>
    <font>
      <b/>
      <i/>
      <sz val="12"/>
      <color rgb="FF7030A0"/>
      <name val="メイリオ"/>
      <family val="2"/>
      <charset val="128"/>
    </font>
    <font>
      <sz val="13"/>
      <color rgb="FFFF0000"/>
      <name val="メイリオ"/>
      <family val="2"/>
      <charset val="128"/>
    </font>
    <font>
      <b/>
      <sz val="14"/>
      <color rgb="FF000000"/>
      <name val="メイリオ"/>
      <family val="2"/>
      <charset val="128"/>
    </font>
    <font>
      <sz val="14"/>
      <color theme="0"/>
      <name val="Meiryo UI"/>
      <family val="2"/>
      <charset val="128"/>
    </font>
    <font>
      <sz val="14"/>
      <color rgb="FF000000"/>
      <name val="Meiryo UI"/>
      <family val="2"/>
      <charset val="128"/>
    </font>
    <font>
      <b/>
      <sz val="14"/>
      <color rgb="FF000000"/>
      <name val="Meiryo UI"/>
      <family val="2"/>
      <charset val="128"/>
    </font>
    <font>
      <sz val="14"/>
      <color theme="1"/>
      <name val="Meiryo UI"/>
      <family val="2"/>
      <charset val="128"/>
    </font>
    <font>
      <u/>
      <sz val="12"/>
      <color theme="10"/>
      <name val="游ゴシック"/>
      <family val="2"/>
      <charset val="128"/>
      <scheme val="minor"/>
    </font>
    <font>
      <b/>
      <sz val="12"/>
      <name val="Meiryo UI"/>
      <family val="2"/>
      <charset val="128"/>
    </font>
    <font>
      <b/>
      <sz val="14"/>
      <color rgb="FFFF0000"/>
      <name val="Meiryo UI"/>
      <family val="2"/>
      <charset val="128"/>
    </font>
    <font>
      <b/>
      <i/>
      <sz val="12"/>
      <color theme="3" tint="-0.249977111117893"/>
      <name val="Meiryo UI"/>
      <family val="2"/>
      <charset val="128"/>
    </font>
    <font>
      <b/>
      <sz val="12"/>
      <color theme="3" tint="-0.249977111117893"/>
      <name val="Meiryo UI"/>
      <family val="2"/>
      <charset val="128"/>
    </font>
    <font>
      <b/>
      <sz val="12"/>
      <color rgb="FF0070C0"/>
      <name val="Meiryo UI"/>
      <family val="2"/>
      <charset val="128"/>
    </font>
    <font>
      <b/>
      <sz val="11"/>
      <color theme="0"/>
      <name val="Meiryo UI"/>
      <family val="2"/>
      <charset val="128"/>
    </font>
    <font>
      <b/>
      <sz val="9"/>
      <color theme="0"/>
      <name val="Meiryo UI"/>
      <family val="2"/>
      <charset val="128"/>
    </font>
    <font>
      <sz val="9"/>
      <color theme="1"/>
      <name val="Meiryo UI"/>
      <family val="2"/>
      <charset val="128"/>
    </font>
    <font>
      <sz val="10"/>
      <color theme="0"/>
      <name val="Meiryo UI"/>
      <family val="2"/>
      <charset val="128"/>
    </font>
    <font>
      <b/>
      <sz val="18"/>
      <color theme="3" tint="-0.249977111117893"/>
      <name val="Meiryo UI"/>
      <family val="2"/>
      <charset val="128"/>
    </font>
    <font>
      <b/>
      <sz val="16"/>
      <color rgb="FF000000"/>
      <name val="Meiryo UI"/>
      <family val="2"/>
      <charset val="128"/>
    </font>
    <font>
      <sz val="12"/>
      <color theme="1"/>
      <name val="游ゴシック"/>
      <family val="2"/>
      <charset val="128"/>
      <scheme val="minor"/>
    </font>
    <font>
      <sz val="10"/>
      <color rgb="FF000000"/>
      <name val="Meiryo UI"/>
      <family val="2"/>
      <charset val="128"/>
    </font>
    <font>
      <b/>
      <sz val="14"/>
      <color theme="1"/>
      <name val="Meiryo UI"/>
      <family val="2"/>
      <charset val="128"/>
    </font>
    <font>
      <b/>
      <sz val="12"/>
      <color theme="3"/>
      <name val="Meiryo UI"/>
      <family val="2"/>
      <charset val="128"/>
    </font>
    <font>
      <b/>
      <sz val="24"/>
      <color theme="3"/>
      <name val="Meiryo UI"/>
      <family val="2"/>
      <charset val="128"/>
    </font>
    <font>
      <sz val="12"/>
      <color theme="3"/>
      <name val="Meiryo UI"/>
      <family val="2"/>
      <charset val="128"/>
    </font>
    <font>
      <b/>
      <sz val="12"/>
      <color theme="3" tint="-0.499984740745262"/>
      <name val="Meiryo UI"/>
      <family val="2"/>
      <charset val="128"/>
    </font>
    <font>
      <sz val="12"/>
      <color theme="3" tint="-0.499984740745262"/>
      <name val="Meiryo UI"/>
      <family val="2"/>
      <charset val="128"/>
    </font>
    <font>
      <b/>
      <sz val="14"/>
      <color theme="1"/>
      <name val="メイリオ"/>
      <family val="2"/>
      <charset val="128"/>
    </font>
    <font>
      <b/>
      <sz val="12"/>
      <color rgb="FF000000"/>
      <name val="メイリオ"/>
      <family val="2"/>
      <charset val="128"/>
    </font>
    <font>
      <sz val="14"/>
      <color rgb="FF000000"/>
      <name val="Calibri"/>
      <family val="2"/>
    </font>
    <font>
      <sz val="10"/>
      <color rgb="FF000000"/>
      <name val="Yu Gothic UI"/>
      <charset val="128"/>
    </font>
  </fonts>
  <fills count="16">
    <fill>
      <patternFill patternType="none"/>
    </fill>
    <fill>
      <patternFill patternType="gray125"/>
    </fill>
    <fill>
      <patternFill patternType="solid">
        <fgColor theme="0" tint="-0.14999847407452621"/>
        <bgColor indexed="64"/>
      </patternFill>
    </fill>
    <fill>
      <patternFill patternType="solid">
        <fgColor theme="3"/>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2" tint="-0.749992370372631"/>
        <bgColor indexed="64"/>
      </patternFill>
    </fill>
    <fill>
      <patternFill patternType="solid">
        <fgColor theme="5"/>
        <bgColor indexed="64"/>
      </patternFill>
    </fill>
    <fill>
      <patternFill patternType="solid">
        <fgColor rgb="FF00B050"/>
        <bgColor indexed="64"/>
      </patternFill>
    </fill>
    <fill>
      <patternFill patternType="solid">
        <fgColor theme="1" tint="0.499984740745262"/>
        <bgColor indexed="64"/>
      </patternFill>
    </fill>
    <fill>
      <patternFill patternType="solid">
        <fgColor theme="2"/>
        <bgColor indexed="64"/>
      </patternFill>
    </fill>
    <fill>
      <patternFill patternType="solid">
        <fgColor theme="0"/>
        <bgColor indexed="64"/>
      </patternFill>
    </fill>
    <fill>
      <patternFill patternType="solid">
        <fgColor theme="7" tint="0.59999389629810485"/>
        <bgColor indexed="64"/>
      </patternFill>
    </fill>
    <fill>
      <patternFill patternType="solid">
        <fgColor theme="3" tint="-0.499984740745262"/>
        <bgColor indexed="64"/>
      </patternFill>
    </fill>
    <fill>
      <patternFill patternType="solid">
        <fgColor theme="8"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style="thin">
        <color rgb="FF000000"/>
      </left>
      <right/>
      <top/>
      <bottom style="thin">
        <color rgb="FF000000"/>
      </bottom>
      <diagonal/>
    </border>
  </borders>
  <cellStyleXfs count="3">
    <xf numFmtId="0" fontId="0" fillId="0" borderId="0">
      <alignment vertical="center"/>
    </xf>
    <xf numFmtId="0" fontId="29" fillId="0" borderId="0" applyNumberFormat="0" applyFill="0" applyBorder="0" applyAlignment="0" applyProtection="0">
      <alignment vertical="center"/>
    </xf>
    <xf numFmtId="9" fontId="41" fillId="0" borderId="0" applyFont="0" applyFill="0" applyBorder="0" applyAlignment="0" applyProtection="0">
      <alignment vertical="center"/>
    </xf>
  </cellStyleXfs>
  <cellXfs count="193">
    <xf numFmtId="0" fontId="0" fillId="0" borderId="0" xfId="0">
      <alignment vertical="center"/>
    </xf>
    <xf numFmtId="0" fontId="2" fillId="0" borderId="0" xfId="0" applyFont="1">
      <alignment vertical="center"/>
    </xf>
    <xf numFmtId="0" fontId="3" fillId="0" borderId="0" xfId="0" applyFont="1">
      <alignment vertical="center"/>
    </xf>
    <xf numFmtId="0" fontId="4" fillId="3" borderId="1" xfId="0" applyFont="1" applyFill="1" applyBorder="1">
      <alignment vertical="center"/>
    </xf>
    <xf numFmtId="0" fontId="7" fillId="0" borderId="3" xfId="0" applyFont="1" applyBorder="1">
      <alignment vertical="center"/>
    </xf>
    <xf numFmtId="0" fontId="9" fillId="0" borderId="3" xfId="0" applyFont="1" applyBorder="1">
      <alignment vertical="center"/>
    </xf>
    <xf numFmtId="0" fontId="7" fillId="5" borderId="3" xfId="0" applyFont="1" applyFill="1" applyBorder="1">
      <alignment vertical="center"/>
    </xf>
    <xf numFmtId="0" fontId="9" fillId="5" borderId="3" xfId="0" applyFont="1" applyFill="1" applyBorder="1" applyAlignment="1">
      <alignment vertical="center" wrapText="1"/>
    </xf>
    <xf numFmtId="0" fontId="9" fillId="5" borderId="3" xfId="0" applyFont="1" applyFill="1" applyBorder="1">
      <alignment vertical="center"/>
    </xf>
    <xf numFmtId="0" fontId="9" fillId="0" borderId="0" xfId="0" applyFont="1">
      <alignment vertical="center"/>
    </xf>
    <xf numFmtId="0" fontId="9" fillId="5" borderId="0" xfId="0" applyFont="1" applyFill="1">
      <alignment vertical="center"/>
    </xf>
    <xf numFmtId="0" fontId="9" fillId="0" borderId="3" xfId="0" applyFont="1" applyBorder="1" applyAlignment="1">
      <alignment vertical="center" wrapText="1"/>
    </xf>
    <xf numFmtId="0" fontId="9" fillId="0" borderId="0" xfId="0" applyFont="1" applyAlignment="1">
      <alignment vertical="center" wrapText="1"/>
    </xf>
    <xf numFmtId="0" fontId="7" fillId="0" borderId="3" xfId="0" applyFont="1" applyBorder="1" applyAlignment="1">
      <alignment vertical="center" wrapText="1"/>
    </xf>
    <xf numFmtId="0" fontId="14" fillId="0" borderId="3" xfId="0" applyFont="1" applyBorder="1">
      <alignment vertical="center"/>
    </xf>
    <xf numFmtId="0" fontId="14" fillId="0" borderId="3" xfId="0" applyFont="1" applyBorder="1" applyAlignment="1">
      <alignment vertical="center" wrapText="1"/>
    </xf>
    <xf numFmtId="0" fontId="14" fillId="5" borderId="3" xfId="0" applyFont="1" applyFill="1" applyBorder="1">
      <alignment vertical="center"/>
    </xf>
    <xf numFmtId="0" fontId="15" fillId="0" borderId="0" xfId="0" applyFont="1">
      <alignment vertical="center"/>
    </xf>
    <xf numFmtId="0" fontId="15" fillId="0" borderId="3" xfId="0" applyFont="1" applyBorder="1">
      <alignment vertical="center"/>
    </xf>
    <xf numFmtId="0" fontId="10" fillId="0" borderId="3" xfId="0" applyFont="1" applyBorder="1">
      <alignment vertical="center"/>
    </xf>
    <xf numFmtId="0" fontId="10" fillId="0" borderId="3" xfId="0" applyFont="1" applyBorder="1" applyAlignment="1">
      <alignment vertical="center" wrapText="1"/>
    </xf>
    <xf numFmtId="0" fontId="10" fillId="5" borderId="3" xfId="0" applyFont="1" applyFill="1" applyBorder="1">
      <alignment vertical="center"/>
    </xf>
    <xf numFmtId="0" fontId="15" fillId="5" borderId="3" xfId="0" applyFont="1" applyFill="1" applyBorder="1" applyAlignment="1">
      <alignment vertical="center" wrapText="1"/>
    </xf>
    <xf numFmtId="0" fontId="15" fillId="5" borderId="3" xfId="0" applyFont="1" applyFill="1" applyBorder="1">
      <alignment vertical="center"/>
    </xf>
    <xf numFmtId="0" fontId="9" fillId="0" borderId="0" xfId="0" applyFont="1" applyAlignment="1">
      <alignment horizontal="center" vertical="center"/>
    </xf>
    <xf numFmtId="0" fontId="9" fillId="6" borderId="0" xfId="0" applyFont="1" applyFill="1" applyAlignment="1">
      <alignment vertical="center" wrapText="1"/>
    </xf>
    <xf numFmtId="0" fontId="9" fillId="6" borderId="0" xfId="0" applyFont="1" applyFill="1" applyAlignment="1">
      <alignment vertical="center"/>
    </xf>
    <xf numFmtId="0" fontId="17" fillId="7" borderId="3" xfId="0" applyFont="1" applyFill="1" applyBorder="1">
      <alignment vertical="center"/>
    </xf>
    <xf numFmtId="0" fontId="18" fillId="7" borderId="3" xfId="0" applyFont="1" applyFill="1" applyBorder="1">
      <alignment vertical="center"/>
    </xf>
    <xf numFmtId="0" fontId="17" fillId="7" borderId="4" xfId="0" applyFont="1" applyFill="1" applyBorder="1" applyAlignment="1">
      <alignment vertical="center" wrapText="1"/>
    </xf>
    <xf numFmtId="0" fontId="7" fillId="0" borderId="4" xfId="0" applyFont="1" applyBorder="1" applyAlignment="1">
      <alignment vertical="center" wrapText="1"/>
    </xf>
    <xf numFmtId="0" fontId="7" fillId="0" borderId="4" xfId="0" applyFont="1" applyBorder="1" applyAlignment="1">
      <alignment horizontal="left" vertical="center" wrapText="1"/>
    </xf>
    <xf numFmtId="0" fontId="9" fillId="0" borderId="4" xfId="0" applyFont="1" applyBorder="1" applyAlignment="1">
      <alignment vertical="center" wrapText="1"/>
    </xf>
    <xf numFmtId="0" fontId="9" fillId="5" borderId="4" xfId="0" applyFont="1" applyFill="1" applyBorder="1" applyAlignment="1">
      <alignment vertical="center" wrapText="1"/>
    </xf>
    <xf numFmtId="0" fontId="9" fillId="0" borderId="4" xfId="0" applyFont="1" applyBorder="1" applyAlignment="1">
      <alignment horizontal="left" vertical="center" wrapText="1"/>
    </xf>
    <xf numFmtId="0" fontId="9" fillId="0" borderId="4" xfId="0" applyFont="1" applyBorder="1" applyAlignment="1">
      <alignment vertical="top" wrapText="1"/>
    </xf>
    <xf numFmtId="0" fontId="17" fillId="7" borderId="1" xfId="0" applyFont="1" applyFill="1" applyBorder="1" applyAlignment="1">
      <alignment vertical="center" wrapText="1"/>
    </xf>
    <xf numFmtId="0" fontId="9" fillId="0" borderId="1" xfId="0" applyFont="1" applyBorder="1">
      <alignment vertical="center"/>
    </xf>
    <xf numFmtId="0" fontId="9" fillId="5" borderId="1" xfId="0" applyFont="1" applyFill="1" applyBorder="1">
      <alignment vertical="center"/>
    </xf>
    <xf numFmtId="0" fontId="20" fillId="0" borderId="4" xfId="0" applyFont="1" applyBorder="1" applyAlignment="1">
      <alignment vertical="center" wrapText="1"/>
    </xf>
    <xf numFmtId="0" fontId="14" fillId="0" borderId="3" xfId="0" quotePrefix="1" applyFont="1" applyBorder="1" applyAlignment="1">
      <alignment vertical="center" wrapText="1"/>
    </xf>
    <xf numFmtId="0" fontId="14" fillId="0" borderId="3" xfId="0" applyFont="1" applyBorder="1" applyAlignment="1">
      <alignment vertical="top" wrapText="1"/>
    </xf>
    <xf numFmtId="0" fontId="9" fillId="0" borderId="1" xfId="0" applyFont="1" applyBorder="1" applyAlignment="1">
      <alignment vertical="center" wrapText="1"/>
    </xf>
    <xf numFmtId="0" fontId="9" fillId="0" borderId="3" xfId="0" quotePrefix="1" applyFont="1" applyBorder="1" applyAlignment="1">
      <alignment vertical="top" wrapText="1"/>
    </xf>
    <xf numFmtId="0" fontId="7" fillId="5" borderId="3" xfId="0" applyFont="1" applyFill="1" applyBorder="1" applyAlignment="1">
      <alignment vertical="center" wrapText="1"/>
    </xf>
    <xf numFmtId="0" fontId="14" fillId="5" borderId="3" xfId="0" applyFont="1" applyFill="1" applyBorder="1" applyAlignment="1">
      <alignment vertical="center" wrapText="1"/>
    </xf>
    <xf numFmtId="0" fontId="23" fillId="5" borderId="4" xfId="0" applyFont="1" applyFill="1" applyBorder="1" applyAlignment="1">
      <alignment vertical="center" wrapText="1"/>
    </xf>
    <xf numFmtId="0" fontId="9" fillId="0" borderId="3" xfId="0" applyFont="1" applyFill="1" applyBorder="1">
      <alignment vertical="center"/>
    </xf>
    <xf numFmtId="0" fontId="10" fillId="0" borderId="3" xfId="0" applyFont="1" applyFill="1" applyBorder="1">
      <alignment vertical="center"/>
    </xf>
    <xf numFmtId="0" fontId="7" fillId="0" borderId="3" xfId="0" applyFont="1" applyFill="1" applyBorder="1">
      <alignment vertical="center"/>
    </xf>
    <xf numFmtId="0" fontId="14" fillId="0" borderId="3" xfId="0" applyFont="1" applyFill="1" applyBorder="1">
      <alignment vertical="center"/>
    </xf>
    <xf numFmtId="0" fontId="9" fillId="0" borderId="4" xfId="0" applyFont="1" applyFill="1" applyBorder="1" applyAlignment="1">
      <alignment vertical="center" wrapText="1"/>
    </xf>
    <xf numFmtId="0" fontId="9" fillId="0" borderId="1" xfId="0" applyFont="1" applyFill="1" applyBorder="1">
      <alignment vertical="center"/>
    </xf>
    <xf numFmtId="0" fontId="9" fillId="0" borderId="0" xfId="0" applyFont="1" applyFill="1">
      <alignment vertical="center"/>
    </xf>
    <xf numFmtId="0" fontId="9" fillId="0" borderId="3" xfId="0" applyFont="1" applyBorder="1" applyAlignment="1">
      <alignment horizontal="center" vertical="center"/>
    </xf>
    <xf numFmtId="0" fontId="9" fillId="0" borderId="3" xfId="0" applyFont="1" applyFill="1" applyBorder="1" applyAlignment="1">
      <alignment horizontal="center" vertical="center"/>
    </xf>
    <xf numFmtId="0" fontId="9" fillId="5" borderId="3" xfId="0" quotePrefix="1" applyFont="1" applyFill="1" applyBorder="1" applyAlignment="1">
      <alignment horizontal="center" vertical="center"/>
    </xf>
    <xf numFmtId="0" fontId="17" fillId="8" borderId="3" xfId="0" applyFont="1" applyFill="1" applyBorder="1" applyAlignment="1">
      <alignment horizontal="center" vertical="center"/>
    </xf>
    <xf numFmtId="0" fontId="3" fillId="0" borderId="0" xfId="0" applyFont="1" applyAlignment="1">
      <alignment horizontal="left" vertical="center"/>
    </xf>
    <xf numFmtId="0" fontId="5" fillId="3" borderId="3" xfId="0" applyFont="1" applyFill="1" applyBorder="1">
      <alignment vertical="center"/>
    </xf>
    <xf numFmtId="0" fontId="25" fillId="3" borderId="3" xfId="0" applyFont="1" applyFill="1" applyBorder="1">
      <alignment vertical="center"/>
    </xf>
    <xf numFmtId="0" fontId="3" fillId="2" borderId="3" xfId="0" applyFont="1" applyFill="1" applyBorder="1">
      <alignment vertical="center"/>
    </xf>
    <xf numFmtId="0" fontId="26" fillId="2" borderId="3" xfId="0" applyFont="1" applyFill="1" applyBorder="1">
      <alignment vertical="center"/>
    </xf>
    <xf numFmtId="0" fontId="26" fillId="2" borderId="3" xfId="0" applyFont="1" applyFill="1" applyBorder="1" applyAlignment="1">
      <alignment vertical="center" wrapText="1"/>
    </xf>
    <xf numFmtId="0" fontId="28" fillId="2" borderId="3" xfId="0" applyFont="1" applyFill="1" applyBorder="1">
      <alignment vertical="center"/>
    </xf>
    <xf numFmtId="0" fontId="3" fillId="0" borderId="1" xfId="0" applyFont="1" applyBorder="1" applyAlignment="1">
      <alignment horizontal="left" vertical="center"/>
    </xf>
    <xf numFmtId="0" fontId="3" fillId="0" borderId="1" xfId="0" applyFont="1" applyBorder="1">
      <alignment vertical="center"/>
    </xf>
    <xf numFmtId="49" fontId="3" fillId="0" borderId="0" xfId="0" applyNumberFormat="1" applyFont="1">
      <alignment vertical="center"/>
    </xf>
    <xf numFmtId="49" fontId="3" fillId="2" borderId="3" xfId="0" applyNumberFormat="1" applyFont="1" applyFill="1" applyBorder="1">
      <alignment vertical="center"/>
    </xf>
    <xf numFmtId="0" fontId="26" fillId="2" borderId="4" xfId="0" applyFont="1" applyFill="1" applyBorder="1">
      <alignment vertical="center"/>
    </xf>
    <xf numFmtId="0" fontId="25" fillId="3" borderId="5" xfId="0" applyFont="1" applyFill="1" applyBorder="1">
      <alignment vertical="center"/>
    </xf>
    <xf numFmtId="0" fontId="26" fillId="2" borderId="6" xfId="0" applyFont="1" applyFill="1" applyBorder="1">
      <alignment vertical="center"/>
    </xf>
    <xf numFmtId="0" fontId="26" fillId="2" borderId="1" xfId="0" applyFont="1" applyFill="1" applyBorder="1" applyAlignment="1">
      <alignment vertical="center" wrapText="1"/>
    </xf>
    <xf numFmtId="0" fontId="26" fillId="2" borderId="1" xfId="0" applyFont="1" applyFill="1" applyBorder="1">
      <alignment vertical="center"/>
    </xf>
    <xf numFmtId="0" fontId="29" fillId="2" borderId="1" xfId="1" applyFill="1" applyBorder="1" applyAlignment="1">
      <alignment vertical="center"/>
    </xf>
    <xf numFmtId="49" fontId="29" fillId="2" borderId="1" xfId="1" applyNumberFormat="1" applyFill="1" applyBorder="1" applyAlignment="1">
      <alignment vertical="center"/>
    </xf>
    <xf numFmtId="0" fontId="3" fillId="0" borderId="1" xfId="0" applyFont="1" applyBorder="1">
      <alignment vertical="center"/>
    </xf>
    <xf numFmtId="0" fontId="3" fillId="0" borderId="0" xfId="0" applyFont="1" applyBorder="1">
      <alignment vertical="center"/>
    </xf>
    <xf numFmtId="49" fontId="26" fillId="2" borderId="3" xfId="0" applyNumberFormat="1" applyFont="1" applyFill="1" applyBorder="1">
      <alignment vertical="center"/>
    </xf>
    <xf numFmtId="49" fontId="25" fillId="3" borderId="3" xfId="0" applyNumberFormat="1" applyFont="1" applyFill="1" applyBorder="1">
      <alignment vertical="center"/>
    </xf>
    <xf numFmtId="0" fontId="3" fillId="0" borderId="1" xfId="0" applyFont="1" applyBorder="1">
      <alignment vertical="center"/>
    </xf>
    <xf numFmtId="0" fontId="31" fillId="0" borderId="0" xfId="0" applyFont="1">
      <alignment vertical="center"/>
    </xf>
    <xf numFmtId="49" fontId="30" fillId="0" borderId="0" xfId="0" applyNumberFormat="1" applyFont="1" applyFill="1" applyBorder="1" applyAlignment="1">
      <alignment vertical="top"/>
    </xf>
    <xf numFmtId="0" fontId="33" fillId="0" borderId="0" xfId="0" applyFont="1">
      <alignment vertical="center"/>
    </xf>
    <xf numFmtId="0" fontId="3" fillId="0" borderId="0" xfId="0" applyFont="1" applyAlignment="1"/>
    <xf numFmtId="49" fontId="3" fillId="0" borderId="1" xfId="0" applyNumberFormat="1" applyFont="1" applyBorder="1" applyAlignment="1">
      <alignment vertical="center" shrinkToFit="1"/>
    </xf>
    <xf numFmtId="49" fontId="3" fillId="0" borderId="1" xfId="0" applyNumberFormat="1" applyFont="1" applyFill="1" applyBorder="1" applyAlignment="1">
      <alignment vertical="center" shrinkToFit="1"/>
    </xf>
    <xf numFmtId="176" fontId="3" fillId="0" borderId="1" xfId="0" applyNumberFormat="1" applyFont="1" applyFill="1" applyBorder="1" applyAlignment="1">
      <alignment vertical="center" shrinkToFit="1"/>
    </xf>
    <xf numFmtId="49" fontId="34" fillId="0" borderId="1" xfId="0" applyNumberFormat="1" applyFont="1" applyFill="1" applyBorder="1" applyAlignment="1">
      <alignment vertical="center" shrinkToFit="1"/>
    </xf>
    <xf numFmtId="49" fontId="3" fillId="0" borderId="0" xfId="0" applyNumberFormat="1" applyFont="1" applyFill="1">
      <alignment vertical="center"/>
    </xf>
    <xf numFmtId="0" fontId="3" fillId="0" borderId="0" xfId="0" applyFont="1" applyFill="1">
      <alignment vertical="center"/>
    </xf>
    <xf numFmtId="0" fontId="3" fillId="0" borderId="0" xfId="0" applyFont="1" applyFill="1" applyBorder="1">
      <alignment vertical="center"/>
    </xf>
    <xf numFmtId="0" fontId="4" fillId="3" borderId="1" xfId="0" applyFont="1" applyFill="1" applyBorder="1" applyAlignment="1"/>
    <xf numFmtId="0" fontId="4" fillId="3" borderId="1" xfId="0" applyFont="1" applyFill="1" applyBorder="1" applyAlignment="1">
      <alignment wrapText="1"/>
    </xf>
    <xf numFmtId="49" fontId="3" fillId="0" borderId="1" xfId="0" applyNumberFormat="1" applyFont="1" applyFill="1" applyBorder="1" applyAlignment="1">
      <alignment vertical="center"/>
    </xf>
    <xf numFmtId="0" fontId="37" fillId="0" borderId="0" xfId="0" applyFont="1" applyFill="1" applyAlignment="1">
      <alignment horizontal="right" vertical="top"/>
    </xf>
    <xf numFmtId="0" fontId="38" fillId="10" borderId="0" xfId="0" applyFont="1" applyFill="1" applyAlignment="1">
      <alignment horizontal="center"/>
    </xf>
    <xf numFmtId="0" fontId="37" fillId="0" borderId="0" xfId="0" applyFont="1" applyFill="1" applyAlignment="1">
      <alignment horizontal="right"/>
    </xf>
    <xf numFmtId="0" fontId="39" fillId="11" borderId="0" xfId="0" applyFont="1" applyFill="1">
      <alignment vertical="center"/>
    </xf>
    <xf numFmtId="0" fontId="3" fillId="11" borderId="0" xfId="0" applyFont="1" applyFill="1">
      <alignment vertical="center"/>
    </xf>
    <xf numFmtId="0" fontId="3" fillId="11" borderId="0" xfId="0" applyFont="1" applyFill="1" applyAlignment="1">
      <alignment horizontal="left" vertical="center"/>
    </xf>
    <xf numFmtId="0" fontId="3" fillId="12" borderId="7" xfId="0" applyFont="1" applyFill="1" applyBorder="1" applyAlignment="1"/>
    <xf numFmtId="0" fontId="3" fillId="12" borderId="2" xfId="0" applyFont="1" applyFill="1" applyBorder="1" applyAlignment="1"/>
    <xf numFmtId="0" fontId="3" fillId="12" borderId="11" xfId="0" applyFont="1" applyFill="1" applyBorder="1" applyAlignment="1"/>
    <xf numFmtId="0" fontId="3" fillId="12" borderId="14" xfId="0" applyFont="1" applyFill="1" applyBorder="1">
      <alignment vertical="center"/>
    </xf>
    <xf numFmtId="0" fontId="3" fillId="12" borderId="0" xfId="0" applyFont="1" applyFill="1" applyBorder="1">
      <alignment vertical="center"/>
    </xf>
    <xf numFmtId="0" fontId="3" fillId="12" borderId="16" xfId="0" applyFont="1" applyFill="1" applyBorder="1">
      <alignment vertical="center"/>
    </xf>
    <xf numFmtId="0" fontId="3" fillId="12" borderId="12" xfId="0" applyFont="1" applyFill="1" applyBorder="1">
      <alignment vertical="center"/>
    </xf>
    <xf numFmtId="0" fontId="3" fillId="12" borderId="15" xfId="0" applyFont="1" applyFill="1" applyBorder="1">
      <alignment vertical="center"/>
    </xf>
    <xf numFmtId="0" fontId="3" fillId="12" borderId="13" xfId="0" applyFont="1" applyFill="1" applyBorder="1">
      <alignment vertical="center"/>
    </xf>
    <xf numFmtId="0" fontId="5" fillId="3" borderId="6" xfId="0" applyFont="1" applyFill="1" applyBorder="1">
      <alignment vertical="center"/>
    </xf>
    <xf numFmtId="0" fontId="5" fillId="3" borderId="17" xfId="0" applyFont="1" applyFill="1" applyBorder="1">
      <alignment vertical="center"/>
    </xf>
    <xf numFmtId="0" fontId="5" fillId="3" borderId="1" xfId="0" applyFont="1" applyFill="1" applyBorder="1">
      <alignment vertical="center"/>
    </xf>
    <xf numFmtId="0" fontId="5" fillId="3" borderId="3" xfId="0" applyFont="1" applyFill="1" applyBorder="1" applyAlignment="1">
      <alignment horizontal="right" vertical="center"/>
    </xf>
    <xf numFmtId="0" fontId="44" fillId="0" borderId="0" xfId="0" applyFont="1" applyAlignment="1">
      <alignment horizontal="left" vertical="center"/>
    </xf>
    <xf numFmtId="0" fontId="44" fillId="0" borderId="0" xfId="0" applyFont="1" applyAlignment="1">
      <alignment horizontal="right" vertical="center"/>
    </xf>
    <xf numFmtId="0" fontId="44" fillId="0" borderId="0" xfId="0" applyFont="1">
      <alignment vertical="center"/>
    </xf>
    <xf numFmtId="0" fontId="45" fillId="0" borderId="0" xfId="0" applyFont="1">
      <alignment vertical="center"/>
    </xf>
    <xf numFmtId="0" fontId="46" fillId="0" borderId="0" xfId="0" applyFont="1" applyAlignment="1">
      <alignment horizontal="right" vertical="center"/>
    </xf>
    <xf numFmtId="0" fontId="46" fillId="0" borderId="0" xfId="0" applyFont="1">
      <alignment vertical="center"/>
    </xf>
    <xf numFmtId="2" fontId="46" fillId="0" borderId="3" xfId="0" applyNumberFormat="1" applyFont="1" applyBorder="1">
      <alignment vertical="center"/>
    </xf>
    <xf numFmtId="0" fontId="46" fillId="0" borderId="3" xfId="0" applyFont="1" applyBorder="1">
      <alignment vertical="center"/>
    </xf>
    <xf numFmtId="0" fontId="46" fillId="0" borderId="3" xfId="0" applyFont="1" applyBorder="1" applyAlignment="1">
      <alignment vertical="center" wrapText="1"/>
    </xf>
    <xf numFmtId="0" fontId="46" fillId="0" borderId="6" xfId="0" applyFont="1" applyBorder="1" applyAlignment="1">
      <alignment vertical="center" wrapText="1"/>
    </xf>
    <xf numFmtId="0" fontId="5" fillId="0" borderId="0" xfId="0" applyFont="1">
      <alignment vertical="center"/>
    </xf>
    <xf numFmtId="1" fontId="47" fillId="13" borderId="3" xfId="0" applyNumberFormat="1" applyFont="1" applyFill="1" applyBorder="1" applyAlignment="1">
      <alignment horizontal="right" vertical="center"/>
    </xf>
    <xf numFmtId="0" fontId="47" fillId="13" borderId="3" xfId="0" applyFont="1" applyFill="1" applyBorder="1">
      <alignment vertical="center"/>
    </xf>
    <xf numFmtId="1" fontId="48" fillId="0" borderId="3" xfId="0" applyNumberFormat="1" applyFont="1" applyBorder="1" applyAlignment="1">
      <alignment horizontal="right" vertical="center"/>
    </xf>
    <xf numFmtId="0" fontId="48" fillId="0" borderId="3" xfId="0" applyFont="1" applyBorder="1">
      <alignment vertical="center"/>
    </xf>
    <xf numFmtId="0" fontId="48" fillId="0" borderId="3" xfId="0" applyFont="1" applyBorder="1" applyAlignment="1">
      <alignment vertical="center" wrapText="1"/>
    </xf>
    <xf numFmtId="0" fontId="46" fillId="0" borderId="0" xfId="0" applyFont="1" applyAlignment="1">
      <alignment horizontal="left" vertical="center"/>
    </xf>
    <xf numFmtId="0" fontId="46" fillId="0" borderId="7" xfId="0" applyFont="1" applyBorder="1" applyAlignment="1">
      <alignment horizontal="right" vertical="center"/>
    </xf>
    <xf numFmtId="0" fontId="46" fillId="0" borderId="2" xfId="0" applyFont="1" applyBorder="1" applyAlignment="1">
      <alignment vertical="center"/>
    </xf>
    <xf numFmtId="0" fontId="46" fillId="0" borderId="2" xfId="0" applyFont="1" applyBorder="1">
      <alignment vertical="center"/>
    </xf>
    <xf numFmtId="0" fontId="46" fillId="0" borderId="11" xfId="0" applyFont="1" applyBorder="1">
      <alignment vertical="center"/>
    </xf>
    <xf numFmtId="0" fontId="46" fillId="0" borderId="14" xfId="0" applyFont="1" applyBorder="1" applyAlignment="1">
      <alignment horizontal="right" vertical="center"/>
    </xf>
    <xf numFmtId="0" fontId="46" fillId="0" borderId="0" xfId="0" applyFont="1" applyBorder="1" applyAlignment="1">
      <alignment horizontal="left" vertical="center" indent="2"/>
    </xf>
    <xf numFmtId="0" fontId="46" fillId="0" borderId="0" xfId="0" applyFont="1" applyBorder="1">
      <alignment vertical="center"/>
    </xf>
    <xf numFmtId="0" fontId="46" fillId="0" borderId="16" xfId="0" applyFont="1" applyBorder="1">
      <alignment vertical="center"/>
    </xf>
    <xf numFmtId="0" fontId="46" fillId="0" borderId="0" xfId="0" applyFont="1" applyBorder="1" applyAlignment="1">
      <alignment vertical="center"/>
    </xf>
    <xf numFmtId="0" fontId="44" fillId="0" borderId="0" xfId="0" applyFont="1" applyBorder="1" applyAlignment="1">
      <alignment horizontal="left" vertical="center" indent="2"/>
    </xf>
    <xf numFmtId="0" fontId="46" fillId="0" borderId="0" xfId="0" applyFont="1" applyBorder="1" applyAlignment="1">
      <alignment horizontal="left" vertical="center"/>
    </xf>
    <xf numFmtId="0" fontId="46" fillId="0" borderId="12" xfId="0" applyFont="1" applyBorder="1" applyAlignment="1">
      <alignment horizontal="right" vertical="center"/>
    </xf>
    <xf numFmtId="0" fontId="46" fillId="0" borderId="15" xfId="0" applyFont="1" applyBorder="1">
      <alignment vertical="center"/>
    </xf>
    <xf numFmtId="0" fontId="46" fillId="0" borderId="13" xfId="0" applyFont="1" applyBorder="1">
      <alignment vertical="center"/>
    </xf>
    <xf numFmtId="0" fontId="5" fillId="3" borderId="3" xfId="0" applyFont="1" applyFill="1" applyBorder="1" applyAlignment="1">
      <alignment horizontal="center" vertical="center"/>
    </xf>
    <xf numFmtId="1" fontId="47" fillId="13" borderId="3" xfId="0" applyNumberFormat="1" applyFont="1" applyFill="1" applyBorder="1" applyAlignment="1">
      <alignment horizontal="center" vertical="center"/>
    </xf>
    <xf numFmtId="1" fontId="48" fillId="0" borderId="3" xfId="0" applyNumberFormat="1" applyFont="1" applyBorder="1" applyAlignment="1">
      <alignment horizontal="center" vertical="center"/>
    </xf>
    <xf numFmtId="0" fontId="3" fillId="14" borderId="0" xfId="0" applyFont="1" applyFill="1">
      <alignment vertical="center"/>
    </xf>
    <xf numFmtId="0" fontId="32" fillId="0" borderId="0" xfId="0" applyFont="1" applyAlignment="1"/>
    <xf numFmtId="0" fontId="17" fillId="7" borderId="4" xfId="0" applyFont="1" applyFill="1" applyBorder="1" applyAlignment="1">
      <alignment horizontal="center" vertical="center"/>
    </xf>
    <xf numFmtId="0" fontId="14" fillId="0" borderId="4" xfId="0" applyFont="1" applyBorder="1" applyAlignment="1">
      <alignment horizontal="center" vertical="center"/>
    </xf>
    <xf numFmtId="0" fontId="14" fillId="0" borderId="4" xfId="0" applyFont="1" applyBorder="1" applyAlignment="1">
      <alignment horizontal="center" vertical="center" wrapText="1"/>
    </xf>
    <xf numFmtId="0" fontId="9" fillId="5" borderId="4" xfId="0" applyFont="1" applyFill="1" applyBorder="1" applyAlignment="1">
      <alignment horizontal="center" vertical="center"/>
    </xf>
    <xf numFmtId="0" fontId="14" fillId="0" borderId="4" xfId="0" quotePrefix="1" applyFont="1" applyBorder="1" applyAlignment="1">
      <alignment horizontal="center" vertical="center"/>
    </xf>
    <xf numFmtId="0" fontId="16" fillId="0" borderId="0" xfId="0" applyFont="1" applyAlignment="1">
      <alignment vertical="center"/>
    </xf>
    <xf numFmtId="0" fontId="9" fillId="6" borderId="0" xfId="0" applyFont="1" applyFill="1" applyAlignment="1"/>
    <xf numFmtId="0" fontId="46" fillId="0" borderId="15" xfId="0" applyFont="1" applyBorder="1" applyAlignment="1">
      <alignment horizontal="left" vertical="center"/>
    </xf>
    <xf numFmtId="178" fontId="9" fillId="0" borderId="0" xfId="0" applyNumberFormat="1" applyFont="1" applyAlignment="1">
      <alignment horizontal="left"/>
    </xf>
    <xf numFmtId="179" fontId="9" fillId="0" borderId="0" xfId="0" applyNumberFormat="1" applyFont="1" applyAlignment="1">
      <alignment horizontal="left"/>
    </xf>
    <xf numFmtId="177" fontId="9" fillId="0" borderId="0" xfId="0" applyNumberFormat="1" applyFont="1" applyAlignment="1">
      <alignment horizontal="left"/>
    </xf>
    <xf numFmtId="9" fontId="9" fillId="0" borderId="0" xfId="2" applyFont="1" applyAlignment="1">
      <alignment horizontal="center" vertical="center"/>
    </xf>
    <xf numFmtId="0" fontId="3" fillId="15" borderId="1" xfId="0" applyFont="1" applyFill="1" applyBorder="1" applyAlignment="1">
      <alignment horizontal="center" vertical="center"/>
    </xf>
    <xf numFmtId="0" fontId="35" fillId="9" borderId="1" xfId="0" applyFont="1" applyFill="1" applyBorder="1" applyAlignment="1">
      <alignment horizontal="center" vertical="top" wrapText="1"/>
    </xf>
    <xf numFmtId="0" fontId="4" fillId="3" borderId="1" xfId="0" applyFont="1" applyFill="1" applyBorder="1" applyAlignment="1">
      <alignment horizontal="center" vertical="top" wrapText="1"/>
    </xf>
    <xf numFmtId="0" fontId="35" fillId="3" borderId="1" xfId="0" applyFont="1" applyFill="1" applyBorder="1" applyAlignment="1">
      <alignment horizontal="center" vertical="top" wrapText="1"/>
    </xf>
    <xf numFmtId="0" fontId="6" fillId="3" borderId="1" xfId="0" applyFont="1" applyFill="1" applyBorder="1" applyAlignment="1">
      <alignment horizontal="center" vertical="top" wrapText="1"/>
    </xf>
    <xf numFmtId="0" fontId="6" fillId="9" borderId="1" xfId="0" applyFont="1" applyFill="1" applyBorder="1" applyAlignment="1">
      <alignment horizontal="center" vertical="top" wrapText="1"/>
    </xf>
    <xf numFmtId="0" fontId="10" fillId="0" borderId="3" xfId="0" applyFont="1" applyFill="1" applyBorder="1" applyAlignment="1">
      <alignment vertical="center" wrapText="1"/>
    </xf>
    <xf numFmtId="0" fontId="3" fillId="0" borderId="1" xfId="0" applyFont="1" applyFill="1" applyBorder="1" applyAlignment="1">
      <alignment horizontal="center" vertical="center"/>
    </xf>
    <xf numFmtId="49" fontId="3" fillId="0" borderId="1" xfId="0" quotePrefix="1" applyNumberFormat="1" applyFont="1" applyFill="1" applyBorder="1" applyAlignment="1">
      <alignment vertical="center" shrinkToFit="1"/>
    </xf>
    <xf numFmtId="14" fontId="46" fillId="0" borderId="3" xfId="0" applyNumberFormat="1" applyFont="1" applyBorder="1">
      <alignment vertical="center"/>
    </xf>
    <xf numFmtId="0" fontId="3" fillId="0" borderId="1" xfId="0" applyFont="1" applyFill="1" applyBorder="1" applyAlignment="1">
      <alignment horizontal="center" vertical="center"/>
    </xf>
    <xf numFmtId="0" fontId="46" fillId="0" borderId="0" xfId="0" applyFont="1" applyBorder="1" applyAlignment="1">
      <alignment horizontal="right" vertical="center"/>
    </xf>
    <xf numFmtId="0" fontId="46" fillId="0" borderId="15" xfId="0" applyFont="1" applyBorder="1" applyAlignment="1">
      <alignment horizontal="left" vertical="center" indent="2"/>
    </xf>
    <xf numFmtId="0" fontId="3" fillId="0" borderId="1" xfId="0" applyFont="1" applyFill="1" applyBorder="1" applyAlignment="1">
      <alignment horizontal="center" vertical="center"/>
    </xf>
    <xf numFmtId="0" fontId="5" fillId="3" borderId="1" xfId="0" applyFont="1" applyFill="1" applyBorder="1" applyAlignment="1">
      <alignment horizontal="center" vertical="center"/>
    </xf>
    <xf numFmtId="0" fontId="9" fillId="0" borderId="0" xfId="0" applyFont="1" applyAlignment="1">
      <alignment horizontal="left" vertical="center" wrapText="1"/>
    </xf>
    <xf numFmtId="0" fontId="9" fillId="0" borderId="0" xfId="0" applyFont="1" applyAlignment="1">
      <alignment horizontal="left" vertical="center"/>
    </xf>
    <xf numFmtId="0" fontId="3" fillId="4" borderId="0" xfId="0" applyFont="1" applyFill="1" applyAlignment="1">
      <alignment horizontal="left" vertical="top" wrapText="1"/>
    </xf>
    <xf numFmtId="0" fontId="4" fillId="3" borderId="12" xfId="0" applyFont="1" applyFill="1" applyBorder="1" applyAlignment="1">
      <alignment horizontal="center" vertical="center"/>
    </xf>
    <xf numFmtId="0" fontId="4" fillId="3" borderId="15" xfId="0" applyFont="1" applyFill="1" applyBorder="1" applyAlignment="1">
      <alignment horizontal="center" vertical="center"/>
    </xf>
    <xf numFmtId="49" fontId="3" fillId="0" borderId="9" xfId="0" applyNumberFormat="1" applyFont="1" applyFill="1" applyBorder="1" applyAlignment="1">
      <alignment horizontal="left" vertical="center" shrinkToFit="1"/>
    </xf>
    <xf numFmtId="49" fontId="3" fillId="0" borderId="10" xfId="0" applyNumberFormat="1" applyFont="1" applyFill="1" applyBorder="1" applyAlignment="1">
      <alignment horizontal="left" vertical="center" shrinkToFit="1"/>
    </xf>
    <xf numFmtId="49" fontId="3" fillId="0" borderId="8" xfId="0" applyNumberFormat="1" applyFont="1" applyFill="1" applyBorder="1" applyAlignment="1">
      <alignment horizontal="left" vertical="center" shrinkToFit="1"/>
    </xf>
    <xf numFmtId="49" fontId="3" fillId="0" borderId="1" xfId="0" applyNumberFormat="1" applyFont="1" applyFill="1" applyBorder="1" applyAlignment="1">
      <alignment horizontal="left" vertical="center" shrinkToFit="1"/>
    </xf>
    <xf numFmtId="0" fontId="4" fillId="3" borderId="9" xfId="0" applyFont="1" applyFill="1" applyBorder="1" applyAlignment="1">
      <alignment horizontal="left" vertical="center"/>
    </xf>
    <xf numFmtId="0" fontId="4" fillId="3" borderId="8" xfId="0" applyFont="1" applyFill="1" applyBorder="1" applyAlignment="1">
      <alignment horizontal="left" vertical="center"/>
    </xf>
    <xf numFmtId="49" fontId="3" fillId="0" borderId="1" xfId="0" applyNumberFormat="1" applyFont="1" applyFill="1" applyBorder="1" applyAlignment="1">
      <alignment horizontal="left" vertical="center"/>
    </xf>
    <xf numFmtId="49" fontId="3" fillId="0" borderId="1" xfId="0" applyNumberFormat="1" applyFont="1" applyFill="1" applyBorder="1" applyAlignment="1">
      <alignment horizontal="left" vertical="top" wrapText="1" shrinkToFit="1"/>
    </xf>
    <xf numFmtId="49" fontId="3" fillId="0" borderId="1" xfId="0" applyNumberFormat="1" applyFont="1" applyFill="1" applyBorder="1" applyAlignment="1">
      <alignment horizontal="left" vertical="top" shrinkToFit="1"/>
    </xf>
    <xf numFmtId="0" fontId="4" fillId="3" borderId="1" xfId="0" applyFont="1" applyFill="1" applyBorder="1" applyAlignment="1">
      <alignment horizontal="left" vertical="center"/>
    </xf>
    <xf numFmtId="0" fontId="3" fillId="0" borderId="1" xfId="0" applyFont="1" applyFill="1" applyBorder="1" applyAlignment="1">
      <alignment horizontal="center" vertical="center"/>
    </xf>
  </cellXfs>
  <cellStyles count="3">
    <cellStyle name="パーセント" xfId="2" builtinId="5"/>
    <cellStyle name="ハイパーリンク" xfId="1" builtinId="8"/>
    <cellStyle name="標準" xfId="0" builtinId="0"/>
  </cellStyles>
  <dxfs count="4">
    <dxf>
      <font>
        <b val="0"/>
        <i val="0"/>
        <color theme="1"/>
      </font>
      <fill>
        <patternFill>
          <fgColor auto="1"/>
          <bgColor theme="7" tint="0.79998168889431442"/>
        </patternFill>
      </fill>
    </dxf>
    <dxf>
      <font>
        <b val="0"/>
        <i val="0"/>
        <color theme="1"/>
      </font>
      <fill>
        <patternFill>
          <fgColor auto="1"/>
          <bgColor theme="7" tint="0.79998168889431442"/>
        </patternFill>
      </fill>
    </dxf>
    <dxf>
      <font>
        <b val="0"/>
        <i val="0"/>
        <color theme="1"/>
      </font>
      <fill>
        <patternFill>
          <fgColor auto="1"/>
          <bgColor theme="7" tint="0.79998168889431442"/>
        </patternFill>
      </fill>
    </dxf>
    <dxf>
      <font>
        <b val="0"/>
        <i val="0"/>
        <color theme="1"/>
      </font>
      <fill>
        <patternFill>
          <fgColor auto="1"/>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292100</xdr:colOff>
          <xdr:row>2</xdr:row>
          <xdr:rowOff>0</xdr:rowOff>
        </xdr:from>
        <xdr:to>
          <xdr:col>15</xdr:col>
          <xdr:colOff>114300</xdr:colOff>
          <xdr:row>8</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600" b="1" i="0" u="none" strike="noStrike" baseline="0">
                  <a:solidFill>
                    <a:srgbClr val="000000"/>
                  </a:solidFill>
                  <a:latin typeface="Meiryo UI" charset="-128"/>
                  <a:ea typeface="Meiryo UI" charset="-128"/>
                </a:rPr>
                <a:t>CREATE 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292100</xdr:colOff>
          <xdr:row>9</xdr:row>
          <xdr:rowOff>0</xdr:rowOff>
        </xdr:from>
        <xdr:to>
          <xdr:col>27</xdr:col>
          <xdr:colOff>584200</xdr:colOff>
          <xdr:row>11</xdr:row>
          <xdr:rowOff>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4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400" b="0" i="0" u="none" strike="noStrike" baseline="0">
                  <a:solidFill>
                    <a:srgbClr val="000000"/>
                  </a:solidFill>
                  <a:latin typeface="Calibri" charset="0"/>
                  <a:cs typeface="Calibri" charset="0"/>
                </a:rPr>
                <a:t>Copy CreateSQL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292100</xdr:colOff>
          <xdr:row>4</xdr:row>
          <xdr:rowOff>0</xdr:rowOff>
        </xdr:from>
        <xdr:to>
          <xdr:col>27</xdr:col>
          <xdr:colOff>584200</xdr:colOff>
          <xdr:row>7</xdr:row>
          <xdr:rowOff>114300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4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400" b="0" i="0" u="none" strike="noStrike" baseline="0">
                  <a:solidFill>
                    <a:srgbClr val="000000"/>
                  </a:solidFill>
                  <a:latin typeface="Calibri" charset="0"/>
                  <a:cs typeface="Calibri" charset="0"/>
                </a:rPr>
                <a:t>Back InputForm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292100</xdr:colOff>
          <xdr:row>2</xdr:row>
          <xdr:rowOff>0</xdr:rowOff>
        </xdr:from>
        <xdr:to>
          <xdr:col>15</xdr:col>
          <xdr:colOff>114300</xdr:colOff>
          <xdr:row>8</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B115E1C9-8ACD-274C-95FF-327E4AD82CEB}"/>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600" b="1" i="0" u="none" strike="noStrike" baseline="0">
                  <a:solidFill>
                    <a:srgbClr val="000000"/>
                  </a:solidFill>
                  <a:latin typeface="Meiryo UI" charset="-128"/>
                  <a:ea typeface="Meiryo UI" charset="-128"/>
                </a:rPr>
                <a:t>CREATE 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292100</xdr:colOff>
          <xdr:row>9</xdr:row>
          <xdr:rowOff>0</xdr:rowOff>
        </xdr:from>
        <xdr:to>
          <xdr:col>27</xdr:col>
          <xdr:colOff>584200</xdr:colOff>
          <xdr:row>11</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AE0C3021-B26F-184F-B803-2A8F03767C5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400" b="0" i="0" u="none" strike="noStrike" baseline="0">
                  <a:solidFill>
                    <a:srgbClr val="000000"/>
                  </a:solidFill>
                  <a:latin typeface="Calibri" charset="0"/>
                  <a:cs typeface="Calibri" charset="0"/>
                </a:rPr>
                <a:t>Copy CreateSQL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292100</xdr:colOff>
          <xdr:row>4</xdr:row>
          <xdr:rowOff>0</xdr:rowOff>
        </xdr:from>
        <xdr:to>
          <xdr:col>27</xdr:col>
          <xdr:colOff>584200</xdr:colOff>
          <xdr:row>7</xdr:row>
          <xdr:rowOff>114300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5CDF6D32-38A1-AD43-AF63-2F17761DAE9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400" b="0" i="0" u="none" strike="noStrike" baseline="0">
                  <a:solidFill>
                    <a:srgbClr val="000000"/>
                  </a:solidFill>
                  <a:latin typeface="Calibri" charset="0"/>
                  <a:cs typeface="Calibri" charset="0"/>
                </a:rPr>
                <a:t>Back InputForm</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hyperlink" Target="https://dev.mysql.com/doc/refman/5.6/ja/innodb-storage-engine.html" TargetMode="External"/><Relationship Id="rId2" Type="http://schemas.openxmlformats.org/officeDocument/2006/relationships/hyperlink" Target="https://dev.mysql.com/doc/refman/5.6/ja/myisam-storage-engine.html" TargetMode="External"/><Relationship Id="rId1" Type="http://schemas.openxmlformats.org/officeDocument/2006/relationships/hyperlink" Target="https://dev.mysql.com/doc/refman/5.6/ja/csv-storage-engine.html" TargetMode="Externa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CE35F-4807-504B-AC89-2C0A29CE6FDA}">
  <sheetPr codeName="Sheet1"/>
  <dimension ref="A1:Q42"/>
  <sheetViews>
    <sheetView showGridLines="0" zoomScale="117" workbookViewId="0"/>
  </sheetViews>
  <sheetFormatPr baseColWidth="10" defaultColWidth="11.5703125" defaultRowHeight="18"/>
  <cols>
    <col min="1" max="1" width="1.42578125" style="119" customWidth="1"/>
    <col min="2" max="2" width="6.42578125" style="119" customWidth="1"/>
    <col min="3" max="4" width="4.42578125" style="118" customWidth="1"/>
    <col min="5" max="5" width="21.28515625" style="119" customWidth="1"/>
    <col min="6" max="6" width="47.5703125" style="119" customWidth="1"/>
    <col min="7" max="7" width="21.7109375" style="119" bestFit="1" customWidth="1"/>
    <col min="8" max="8" width="8.5703125" style="119" bestFit="1" customWidth="1"/>
    <col min="9" max="9" width="3.28515625" style="119" customWidth="1"/>
    <col min="10" max="10" width="6.42578125" style="119" customWidth="1"/>
    <col min="11" max="11" width="11.5703125" style="119"/>
    <col min="12" max="12" width="17.28515625" style="119" customWidth="1"/>
    <col min="13" max="13" width="29.7109375" style="119" customWidth="1"/>
    <col min="14" max="14" width="11.5703125" style="119" customWidth="1"/>
    <col min="15" max="16384" width="11.5703125" style="119"/>
  </cols>
  <sheetData>
    <row r="1" spans="1:17" ht="32">
      <c r="A1" s="117" t="s">
        <v>493</v>
      </c>
      <c r="B1" s="117"/>
    </row>
    <row r="2" spans="1:17">
      <c r="N2" s="119" t="s">
        <v>402</v>
      </c>
    </row>
    <row r="3" spans="1:17">
      <c r="B3" s="114" t="s">
        <v>397</v>
      </c>
      <c r="D3" s="115"/>
      <c r="E3" s="116"/>
      <c r="F3" s="116"/>
      <c r="G3" s="116"/>
      <c r="H3" s="116"/>
      <c r="I3" s="116"/>
      <c r="J3" s="116" t="s">
        <v>1</v>
      </c>
      <c r="N3" s="176" t="s">
        <v>401</v>
      </c>
      <c r="O3" s="176"/>
      <c r="P3" s="176"/>
    </row>
    <row r="4" spans="1:17" s="124" customFormat="1">
      <c r="B4" s="145" t="s">
        <v>447</v>
      </c>
      <c r="C4" s="113" t="s">
        <v>406</v>
      </c>
      <c r="D4" s="113" t="s">
        <v>407</v>
      </c>
      <c r="E4" s="59" t="s">
        <v>405</v>
      </c>
      <c r="F4" s="59" t="s">
        <v>429</v>
      </c>
      <c r="G4" s="59" t="s">
        <v>417</v>
      </c>
      <c r="H4" s="59" t="s">
        <v>430</v>
      </c>
      <c r="J4" s="59" t="s">
        <v>2</v>
      </c>
      <c r="K4" s="59" t="s">
        <v>3</v>
      </c>
      <c r="L4" s="59" t="s">
        <v>4</v>
      </c>
      <c r="M4" s="59" t="s">
        <v>5</v>
      </c>
      <c r="N4" s="110" t="s">
        <v>396</v>
      </c>
      <c r="O4" s="110" t="s">
        <v>403</v>
      </c>
      <c r="P4" s="111" t="s">
        <v>0</v>
      </c>
      <c r="Q4" s="112" t="s">
        <v>404</v>
      </c>
    </row>
    <row r="5" spans="1:17" ht="19">
      <c r="B5" s="146" t="str">
        <f>IF(AND(C5&lt;&gt;"",D5&lt;&gt;""),C5&amp;"_"&amp;D5,"")</f>
        <v>1_0</v>
      </c>
      <c r="C5" s="125">
        <v>1</v>
      </c>
      <c r="D5" s="125">
        <v>0</v>
      </c>
      <c r="E5" s="126" t="s">
        <v>410</v>
      </c>
      <c r="F5" s="126" t="s">
        <v>408</v>
      </c>
      <c r="G5" s="126" t="s">
        <v>418</v>
      </c>
      <c r="H5" s="126" t="s">
        <v>506</v>
      </c>
      <c r="J5" s="120" t="s">
        <v>543</v>
      </c>
      <c r="K5" s="171">
        <v>43524</v>
      </c>
      <c r="L5" s="121" t="s">
        <v>504</v>
      </c>
      <c r="M5" s="121" t="s">
        <v>511</v>
      </c>
      <c r="N5" s="122" t="s">
        <v>510</v>
      </c>
      <c r="O5" s="122">
        <v>8</v>
      </c>
      <c r="P5" s="122">
        <v>16.22</v>
      </c>
      <c r="Q5" s="123"/>
    </row>
    <row r="6" spans="1:17" ht="19">
      <c r="B6" s="147" t="str">
        <f t="shared" ref="B6:B13" si="0">IF(AND(C6&lt;&gt;"",D6&lt;&gt;""),C6&amp;"_"&amp;D6,"")</f>
        <v>1_1</v>
      </c>
      <c r="C6" s="127">
        <v>1</v>
      </c>
      <c r="D6" s="127">
        <v>1</v>
      </c>
      <c r="E6" s="128" t="s">
        <v>423</v>
      </c>
      <c r="F6" s="129" t="s">
        <v>424</v>
      </c>
      <c r="G6" s="129" t="s">
        <v>425</v>
      </c>
      <c r="H6" s="128" t="s">
        <v>506</v>
      </c>
      <c r="J6" s="120" t="s">
        <v>542</v>
      </c>
      <c r="K6" s="171">
        <v>43535</v>
      </c>
      <c r="L6" s="121" t="s">
        <v>504</v>
      </c>
      <c r="M6" s="121" t="s">
        <v>532</v>
      </c>
      <c r="N6" s="122" t="s">
        <v>531</v>
      </c>
      <c r="O6" s="122"/>
      <c r="P6" s="122"/>
      <c r="Q6" s="123"/>
    </row>
    <row r="7" spans="1:17" ht="19">
      <c r="B7" s="147" t="str">
        <f t="shared" si="0"/>
        <v>1_2</v>
      </c>
      <c r="C7" s="127">
        <v>1</v>
      </c>
      <c r="D7" s="127">
        <v>2</v>
      </c>
      <c r="E7" s="128" t="s">
        <v>411</v>
      </c>
      <c r="F7" s="129" t="s">
        <v>412</v>
      </c>
      <c r="G7" s="129" t="s">
        <v>426</v>
      </c>
      <c r="H7" s="128" t="s">
        <v>506</v>
      </c>
      <c r="J7" s="120" t="s">
        <v>541</v>
      </c>
      <c r="K7" s="171">
        <v>43596</v>
      </c>
      <c r="L7" s="121" t="s">
        <v>504</v>
      </c>
      <c r="M7" s="121" t="s">
        <v>540</v>
      </c>
      <c r="N7" s="122" t="s">
        <v>531</v>
      </c>
      <c r="O7" s="122"/>
      <c r="P7" s="122"/>
      <c r="Q7" s="123"/>
    </row>
    <row r="8" spans="1:17">
      <c r="B8" s="147" t="str">
        <f t="shared" si="0"/>
        <v>1_3</v>
      </c>
      <c r="C8" s="127">
        <v>1</v>
      </c>
      <c r="D8" s="127">
        <v>3</v>
      </c>
      <c r="E8" s="128" t="s">
        <v>409</v>
      </c>
      <c r="F8" s="128" t="s">
        <v>413</v>
      </c>
      <c r="G8" s="128" t="s">
        <v>425</v>
      </c>
      <c r="H8" s="128" t="s">
        <v>506</v>
      </c>
      <c r="J8" s="120"/>
      <c r="K8" s="121"/>
      <c r="L8" s="121"/>
      <c r="M8" s="121"/>
      <c r="N8" s="122"/>
      <c r="O8" s="122"/>
      <c r="P8" s="122"/>
      <c r="Q8" s="123"/>
    </row>
    <row r="9" spans="1:17">
      <c r="B9" s="146" t="str">
        <f t="shared" si="0"/>
        <v>2_0</v>
      </c>
      <c r="C9" s="125">
        <v>2</v>
      </c>
      <c r="D9" s="125">
        <v>0</v>
      </c>
      <c r="E9" s="126" t="s">
        <v>398</v>
      </c>
      <c r="F9" s="126" t="s">
        <v>419</v>
      </c>
      <c r="G9" s="126" t="s">
        <v>418</v>
      </c>
      <c r="H9" s="126" t="s">
        <v>507</v>
      </c>
      <c r="J9" s="120"/>
      <c r="K9" s="121"/>
      <c r="L9" s="121"/>
      <c r="M9" s="121"/>
      <c r="N9" s="121"/>
      <c r="O9" s="121"/>
      <c r="P9" s="121"/>
      <c r="Q9" s="121"/>
    </row>
    <row r="10" spans="1:17">
      <c r="B10" s="147" t="str">
        <f t="shared" si="0"/>
        <v>2_1</v>
      </c>
      <c r="C10" s="127">
        <v>2</v>
      </c>
      <c r="D10" s="127">
        <v>1</v>
      </c>
      <c r="E10" s="128" t="s">
        <v>415</v>
      </c>
      <c r="F10" s="128" t="s">
        <v>416</v>
      </c>
      <c r="G10" s="128" t="s">
        <v>425</v>
      </c>
      <c r="H10" s="128" t="s">
        <v>506</v>
      </c>
      <c r="J10" s="120"/>
      <c r="K10" s="121"/>
      <c r="L10" s="121"/>
      <c r="M10" s="121"/>
      <c r="N10" s="121"/>
      <c r="O10" s="121"/>
      <c r="P10" s="121"/>
      <c r="Q10" s="121"/>
    </row>
    <row r="11" spans="1:17">
      <c r="B11" s="146" t="str">
        <f t="shared" si="0"/>
        <v>3_0</v>
      </c>
      <c r="C11" s="125">
        <v>3</v>
      </c>
      <c r="D11" s="125">
        <v>0</v>
      </c>
      <c r="E11" s="126" t="s">
        <v>420</v>
      </c>
      <c r="F11" s="126" t="s">
        <v>421</v>
      </c>
      <c r="G11" s="126" t="s">
        <v>427</v>
      </c>
      <c r="H11" s="126" t="s">
        <v>506</v>
      </c>
      <c r="J11" s="120"/>
      <c r="K11" s="121"/>
      <c r="L11" s="121"/>
      <c r="M11" s="121"/>
      <c r="N11" s="121"/>
      <c r="O11" s="121"/>
      <c r="P11" s="121"/>
      <c r="Q11" s="121"/>
    </row>
    <row r="12" spans="1:17">
      <c r="B12" s="147" t="str">
        <f t="shared" si="0"/>
        <v>3_1</v>
      </c>
      <c r="C12" s="127">
        <v>3</v>
      </c>
      <c r="D12" s="127">
        <v>1</v>
      </c>
      <c r="E12" s="128" t="s">
        <v>508</v>
      </c>
      <c r="F12" s="128" t="s">
        <v>509</v>
      </c>
      <c r="G12" s="128" t="s">
        <v>422</v>
      </c>
      <c r="H12" s="128" t="s">
        <v>506</v>
      </c>
      <c r="J12" s="120"/>
      <c r="K12" s="121"/>
      <c r="L12" s="121"/>
      <c r="M12" s="121"/>
      <c r="N12" s="121"/>
      <c r="O12" s="121"/>
      <c r="P12" s="121"/>
      <c r="Q12" s="121"/>
    </row>
    <row r="13" spans="1:17">
      <c r="B13" s="147" t="str">
        <f t="shared" si="0"/>
        <v>3_2</v>
      </c>
      <c r="C13" s="127">
        <v>3</v>
      </c>
      <c r="D13" s="127">
        <v>2</v>
      </c>
      <c r="E13" s="128" t="s">
        <v>400</v>
      </c>
      <c r="F13" s="128" t="s">
        <v>399</v>
      </c>
      <c r="G13" s="128" t="s">
        <v>428</v>
      </c>
      <c r="H13" s="128" t="s">
        <v>530</v>
      </c>
      <c r="J13" s="120"/>
      <c r="K13" s="121"/>
      <c r="L13" s="121"/>
      <c r="M13" s="121"/>
      <c r="N13" s="121"/>
      <c r="O13" s="121"/>
      <c r="P13" s="121"/>
      <c r="Q13" s="121"/>
    </row>
    <row r="14" spans="1:17">
      <c r="J14" s="120"/>
      <c r="K14" s="121"/>
      <c r="L14" s="121"/>
      <c r="M14" s="121"/>
      <c r="N14" s="121"/>
      <c r="O14" s="121"/>
      <c r="P14" s="121"/>
      <c r="Q14" s="121"/>
    </row>
    <row r="15" spans="1:17">
      <c r="B15" s="114" t="s">
        <v>537</v>
      </c>
      <c r="J15" s="120"/>
      <c r="K15" s="121"/>
      <c r="L15" s="121"/>
      <c r="M15" s="121"/>
      <c r="N15" s="121"/>
      <c r="O15" s="121"/>
      <c r="P15" s="121"/>
      <c r="Q15" s="121"/>
    </row>
    <row r="16" spans="1:17">
      <c r="B16" s="131">
        <v>1</v>
      </c>
      <c r="C16" s="132" t="s">
        <v>544</v>
      </c>
      <c r="D16" s="133"/>
      <c r="E16" s="133"/>
      <c r="F16" s="133"/>
      <c r="G16" s="133"/>
      <c r="H16" s="134"/>
      <c r="J16" s="120"/>
      <c r="K16" s="121"/>
      <c r="L16" s="121"/>
      <c r="M16" s="121"/>
      <c r="N16" s="121"/>
      <c r="O16" s="121"/>
      <c r="P16" s="121"/>
      <c r="Q16" s="121"/>
    </row>
    <row r="17" spans="2:17">
      <c r="B17" s="135"/>
      <c r="C17" s="136" t="s">
        <v>538</v>
      </c>
      <c r="D17" s="137"/>
      <c r="E17" s="137"/>
      <c r="F17" s="137"/>
      <c r="G17" s="137"/>
      <c r="H17" s="138"/>
      <c r="J17" s="120"/>
      <c r="K17" s="121"/>
      <c r="L17" s="121"/>
      <c r="M17" s="121"/>
      <c r="N17" s="121"/>
      <c r="O17" s="121"/>
      <c r="P17" s="121"/>
      <c r="Q17" s="121"/>
    </row>
    <row r="18" spans="2:17">
      <c r="B18" s="142">
        <v>2</v>
      </c>
      <c r="C18" s="174" t="s">
        <v>539</v>
      </c>
      <c r="D18" s="143"/>
      <c r="E18" s="143"/>
      <c r="F18" s="143"/>
      <c r="G18" s="143"/>
      <c r="H18" s="144"/>
      <c r="J18" s="120"/>
      <c r="K18" s="121"/>
      <c r="L18" s="121"/>
      <c r="M18" s="121"/>
      <c r="N18" s="121"/>
      <c r="O18" s="121"/>
      <c r="P18" s="121"/>
      <c r="Q18" s="121"/>
    </row>
    <row r="19" spans="2:17">
      <c r="B19" s="173"/>
      <c r="C19" s="136"/>
      <c r="D19" s="137"/>
      <c r="E19" s="137"/>
      <c r="F19" s="137"/>
      <c r="G19" s="137"/>
      <c r="H19" s="137"/>
      <c r="J19" s="120"/>
      <c r="K19" s="121"/>
      <c r="L19" s="121"/>
      <c r="M19" s="121"/>
      <c r="N19" s="121"/>
      <c r="O19" s="121"/>
      <c r="P19" s="121"/>
      <c r="Q19" s="121"/>
    </row>
    <row r="20" spans="2:17">
      <c r="B20" s="114" t="s">
        <v>431</v>
      </c>
      <c r="J20" s="120"/>
      <c r="K20" s="121"/>
      <c r="L20" s="121"/>
      <c r="M20" s="121"/>
      <c r="N20" s="121"/>
      <c r="O20" s="121"/>
      <c r="P20" s="121"/>
      <c r="Q20" s="121"/>
    </row>
    <row r="21" spans="2:17">
      <c r="B21" s="131">
        <v>1</v>
      </c>
      <c r="C21" s="132" t="s">
        <v>439</v>
      </c>
      <c r="D21" s="133"/>
      <c r="E21" s="133"/>
      <c r="F21" s="133"/>
      <c r="G21" s="133"/>
      <c r="H21" s="134"/>
      <c r="J21" s="120"/>
      <c r="K21" s="121"/>
      <c r="L21" s="121"/>
      <c r="M21" s="121"/>
      <c r="N21" s="121"/>
      <c r="O21" s="121"/>
      <c r="P21" s="121"/>
      <c r="Q21" s="121"/>
    </row>
    <row r="22" spans="2:17">
      <c r="B22" s="135"/>
      <c r="C22" s="136" t="s">
        <v>446</v>
      </c>
      <c r="D22" s="137"/>
      <c r="E22" s="137"/>
      <c r="F22" s="137"/>
      <c r="G22" s="137"/>
      <c r="H22" s="138"/>
      <c r="J22" s="120"/>
      <c r="K22" s="121"/>
      <c r="L22" s="121"/>
      <c r="M22" s="121"/>
      <c r="N22" s="121"/>
      <c r="O22" s="121"/>
      <c r="P22" s="121"/>
      <c r="Q22" s="121"/>
    </row>
    <row r="23" spans="2:17">
      <c r="B23" s="135"/>
      <c r="C23" s="136"/>
      <c r="D23" s="137"/>
      <c r="E23" s="137"/>
      <c r="F23" s="137"/>
      <c r="G23" s="137"/>
      <c r="H23" s="138"/>
      <c r="J23" s="120"/>
      <c r="K23" s="121"/>
      <c r="L23" s="121"/>
      <c r="M23" s="121"/>
      <c r="N23" s="121"/>
      <c r="O23" s="121"/>
      <c r="P23" s="121"/>
      <c r="Q23" s="121"/>
    </row>
    <row r="24" spans="2:17">
      <c r="B24" s="135">
        <v>2</v>
      </c>
      <c r="C24" s="139" t="s">
        <v>445</v>
      </c>
      <c r="D24" s="137"/>
      <c r="E24" s="137"/>
      <c r="F24" s="137"/>
      <c r="G24" s="137"/>
      <c r="H24" s="138"/>
      <c r="J24" s="120"/>
      <c r="K24" s="121"/>
      <c r="L24" s="121"/>
      <c r="M24" s="121"/>
      <c r="N24" s="121"/>
      <c r="O24" s="121"/>
      <c r="P24" s="121"/>
      <c r="Q24" s="121"/>
    </row>
    <row r="25" spans="2:17">
      <c r="B25" s="135"/>
      <c r="C25" s="139" t="s">
        <v>437</v>
      </c>
      <c r="D25" s="137"/>
      <c r="E25" s="137"/>
      <c r="F25" s="137"/>
      <c r="G25" s="137"/>
      <c r="H25" s="138"/>
      <c r="J25" s="120"/>
      <c r="K25" s="121"/>
      <c r="L25" s="121"/>
      <c r="M25" s="121"/>
      <c r="N25" s="121"/>
      <c r="O25" s="121"/>
      <c r="P25" s="121"/>
      <c r="Q25" s="121"/>
    </row>
    <row r="26" spans="2:17">
      <c r="B26" s="135"/>
      <c r="C26" s="140" t="s">
        <v>438</v>
      </c>
      <c r="D26" s="137"/>
      <c r="E26" s="137"/>
      <c r="F26" s="137"/>
      <c r="G26" s="137"/>
      <c r="H26" s="138"/>
      <c r="J26" s="120"/>
      <c r="K26" s="121"/>
      <c r="L26" s="121"/>
      <c r="M26" s="121"/>
      <c r="N26" s="121"/>
      <c r="O26" s="121"/>
      <c r="P26" s="121"/>
      <c r="Q26" s="121"/>
    </row>
    <row r="27" spans="2:17">
      <c r="B27" s="135"/>
      <c r="C27" s="136" t="s">
        <v>432</v>
      </c>
      <c r="D27" s="137"/>
      <c r="E27" s="137"/>
      <c r="F27" s="137"/>
      <c r="G27" s="137"/>
      <c r="H27" s="138"/>
      <c r="J27" s="120"/>
      <c r="K27" s="121"/>
      <c r="L27" s="121"/>
      <c r="M27" s="121"/>
      <c r="N27" s="121"/>
      <c r="O27" s="121"/>
      <c r="P27" s="121"/>
      <c r="Q27" s="121"/>
    </row>
    <row r="28" spans="2:17">
      <c r="B28" s="135"/>
      <c r="C28" s="136" t="s">
        <v>440</v>
      </c>
      <c r="D28" s="137"/>
      <c r="E28" s="137"/>
      <c r="F28" s="137"/>
      <c r="G28" s="137"/>
      <c r="H28" s="138"/>
      <c r="J28" s="120"/>
      <c r="K28" s="121"/>
      <c r="L28" s="121"/>
      <c r="M28" s="121"/>
      <c r="N28" s="121"/>
      <c r="O28" s="121"/>
      <c r="P28" s="121"/>
      <c r="Q28" s="121"/>
    </row>
    <row r="29" spans="2:17">
      <c r="B29" s="135"/>
      <c r="C29" s="139" t="s">
        <v>433</v>
      </c>
      <c r="D29" s="137"/>
      <c r="E29" s="137"/>
      <c r="F29" s="137"/>
      <c r="G29" s="137"/>
      <c r="H29" s="138"/>
      <c r="J29" s="120"/>
      <c r="K29" s="121"/>
      <c r="L29" s="121"/>
      <c r="M29" s="121"/>
      <c r="N29" s="121"/>
      <c r="O29" s="121"/>
      <c r="P29" s="121"/>
      <c r="Q29" s="121"/>
    </row>
    <row r="30" spans="2:17">
      <c r="B30" s="135"/>
      <c r="C30" s="140" t="s">
        <v>436</v>
      </c>
      <c r="D30" s="137"/>
      <c r="E30" s="137"/>
      <c r="F30" s="137"/>
      <c r="G30" s="137"/>
      <c r="H30" s="138"/>
      <c r="J30" s="120"/>
      <c r="K30" s="121"/>
      <c r="L30" s="121"/>
      <c r="M30" s="121"/>
      <c r="N30" s="121"/>
      <c r="O30" s="121"/>
      <c r="P30" s="121"/>
      <c r="Q30" s="121"/>
    </row>
    <row r="31" spans="2:17">
      <c r="B31" s="135"/>
      <c r="C31" s="136" t="s">
        <v>434</v>
      </c>
      <c r="D31" s="137"/>
      <c r="E31" s="137"/>
      <c r="F31" s="137"/>
      <c r="G31" s="137"/>
      <c r="H31" s="138"/>
      <c r="J31" s="120"/>
      <c r="K31" s="121"/>
      <c r="L31" s="121"/>
      <c r="M31" s="121"/>
      <c r="N31" s="121"/>
      <c r="O31" s="121"/>
      <c r="P31" s="121"/>
      <c r="Q31" s="121"/>
    </row>
    <row r="32" spans="2:17">
      <c r="B32" s="135"/>
      <c r="C32" s="139" t="s">
        <v>435</v>
      </c>
      <c r="D32" s="137"/>
      <c r="E32" s="137"/>
      <c r="F32" s="137"/>
      <c r="G32" s="137"/>
      <c r="H32" s="138"/>
      <c r="J32" s="120"/>
      <c r="K32" s="121"/>
      <c r="L32" s="121"/>
      <c r="M32" s="121"/>
      <c r="N32" s="121"/>
      <c r="O32" s="121"/>
      <c r="P32" s="121"/>
      <c r="Q32" s="121"/>
    </row>
    <row r="33" spans="2:8">
      <c r="B33" s="135"/>
      <c r="C33" s="141" t="s">
        <v>443</v>
      </c>
      <c r="D33" s="137"/>
      <c r="E33" s="137"/>
      <c r="F33" s="137"/>
      <c r="G33" s="137"/>
      <c r="H33" s="138"/>
    </row>
    <row r="34" spans="2:8">
      <c r="B34" s="135"/>
      <c r="C34" s="141" t="s">
        <v>441</v>
      </c>
      <c r="D34" s="137"/>
      <c r="E34" s="137"/>
      <c r="F34" s="137"/>
      <c r="G34" s="137"/>
      <c r="H34" s="138"/>
    </row>
    <row r="35" spans="2:8">
      <c r="B35" s="135"/>
      <c r="C35" s="141" t="s">
        <v>442</v>
      </c>
      <c r="D35" s="137"/>
      <c r="E35" s="137"/>
      <c r="F35" s="137"/>
      <c r="G35" s="137"/>
      <c r="H35" s="138"/>
    </row>
    <row r="36" spans="2:8">
      <c r="B36" s="135"/>
      <c r="C36" s="141" t="s">
        <v>458</v>
      </c>
      <c r="D36" s="137"/>
      <c r="E36" s="137"/>
      <c r="F36" s="137"/>
      <c r="G36" s="137"/>
      <c r="H36" s="138"/>
    </row>
    <row r="37" spans="2:8">
      <c r="B37" s="135"/>
      <c r="C37" s="141" t="s">
        <v>462</v>
      </c>
      <c r="D37" s="137"/>
      <c r="E37" s="137"/>
      <c r="F37" s="137"/>
      <c r="G37" s="137"/>
      <c r="H37" s="138"/>
    </row>
    <row r="38" spans="2:8">
      <c r="B38" s="135"/>
      <c r="C38" s="130" t="s">
        <v>494</v>
      </c>
      <c r="D38" s="137"/>
      <c r="E38" s="137"/>
      <c r="F38" s="137"/>
      <c r="G38" s="137"/>
      <c r="H38" s="138"/>
    </row>
    <row r="39" spans="2:8">
      <c r="B39" s="135"/>
      <c r="C39" s="130" t="s">
        <v>463</v>
      </c>
      <c r="D39" s="137"/>
      <c r="E39" s="137"/>
      <c r="F39" s="137"/>
      <c r="G39" s="137"/>
      <c r="H39" s="138"/>
    </row>
    <row r="40" spans="2:8">
      <c r="B40" s="142"/>
      <c r="C40" s="157"/>
      <c r="D40" s="143"/>
      <c r="E40" s="143"/>
      <c r="F40" s="143"/>
      <c r="G40" s="143"/>
      <c r="H40" s="144"/>
    </row>
    <row r="42" spans="2:8">
      <c r="C42" s="119"/>
    </row>
  </sheetData>
  <mergeCells count="1">
    <mergeCell ref="N3:P3"/>
  </mergeCells>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81E77-CB68-4645-9BA4-8A7347D4041C}">
  <sheetPr codeName="Sheet4">
    <tabColor theme="2" tint="-0.249977111117893"/>
  </sheetPr>
  <dimension ref="A1:J43"/>
  <sheetViews>
    <sheetView workbookViewId="0">
      <pane xSplit="1" ySplit="8" topLeftCell="B9" activePane="bottomRight" state="frozen"/>
      <selection activeCell="N32" sqref="N32"/>
      <selection pane="topRight" activeCell="N32" sqref="N32"/>
      <selection pane="bottomLeft" activeCell="N32" sqref="N32"/>
      <selection pane="bottomRight" activeCell="N32" sqref="N32"/>
    </sheetView>
  </sheetViews>
  <sheetFormatPr baseColWidth="10" defaultColWidth="10.7109375" defaultRowHeight="23"/>
  <cols>
    <col min="1" max="1" width="3" style="9" customWidth="1"/>
    <col min="2" max="2" width="11.5703125" style="9" customWidth="1"/>
    <col min="3" max="3" width="8.42578125" style="24" customWidth="1"/>
    <col min="4" max="4" width="32" style="17" customWidth="1"/>
    <col min="5" max="5" width="44.85546875" style="9" customWidth="1"/>
    <col min="6" max="6" width="38.140625" style="9" bestFit="1" customWidth="1"/>
    <col min="7" max="8" width="6.85546875" style="24" customWidth="1"/>
    <col min="9" max="9" width="89.85546875" style="12" customWidth="1"/>
    <col min="10" max="16384" width="10.7109375" style="9"/>
  </cols>
  <sheetData>
    <row r="1" spans="1:10" ht="57">
      <c r="A1" s="155" t="s">
        <v>89</v>
      </c>
      <c r="F1" s="159">
        <f>SUM(F2:F3)</f>
        <v>35</v>
      </c>
      <c r="I1" s="25" t="s">
        <v>88</v>
      </c>
    </row>
    <row r="2" spans="1:10">
      <c r="F2" s="158">
        <f>COUNTIF(C:C,"○")</f>
        <v>22</v>
      </c>
      <c r="G2" s="161">
        <f>F2/F1</f>
        <v>0.62857142857142856</v>
      </c>
      <c r="I2" s="156" t="s">
        <v>8</v>
      </c>
    </row>
    <row r="3" spans="1:10">
      <c r="F3" s="160">
        <f>COUNTIF(C:C,"ー")</f>
        <v>13</v>
      </c>
      <c r="I3" s="26" t="s">
        <v>9</v>
      </c>
    </row>
    <row r="4" spans="1:10" ht="23" customHeight="1">
      <c r="B4" s="177" t="s">
        <v>90</v>
      </c>
      <c r="C4" s="178"/>
      <c r="D4" s="178"/>
      <c r="E4" s="178"/>
      <c r="F4" s="178"/>
      <c r="I4" s="26" t="s">
        <v>10</v>
      </c>
    </row>
    <row r="5" spans="1:10" ht="23" customHeight="1">
      <c r="B5" s="178"/>
      <c r="C5" s="178"/>
      <c r="D5" s="178"/>
      <c r="E5" s="178"/>
      <c r="F5" s="178"/>
      <c r="I5" s="26" t="s">
        <v>11</v>
      </c>
    </row>
    <row r="6" spans="1:10" ht="23" customHeight="1">
      <c r="B6" s="178"/>
      <c r="C6" s="178"/>
      <c r="D6" s="178"/>
      <c r="E6" s="178"/>
      <c r="F6" s="178"/>
      <c r="I6" s="26" t="s">
        <v>12</v>
      </c>
    </row>
    <row r="7" spans="1:10" ht="8" customHeight="1"/>
    <row r="8" spans="1:10">
      <c r="B8" s="27" t="s">
        <v>13</v>
      </c>
      <c r="C8" s="57" t="s">
        <v>132</v>
      </c>
      <c r="D8" s="28" t="s">
        <v>14</v>
      </c>
      <c r="E8" s="27" t="s">
        <v>13</v>
      </c>
      <c r="F8" s="27" t="s">
        <v>68</v>
      </c>
      <c r="G8" s="150" t="s">
        <v>453</v>
      </c>
      <c r="H8" s="150" t="s">
        <v>454</v>
      </c>
      <c r="I8" s="29" t="s">
        <v>15</v>
      </c>
      <c r="J8" s="36" t="s">
        <v>97</v>
      </c>
    </row>
    <row r="9" spans="1:10" ht="46">
      <c r="B9" s="5" t="s">
        <v>16</v>
      </c>
      <c r="C9" s="54" t="s">
        <v>17</v>
      </c>
      <c r="D9" s="19" t="s">
        <v>133</v>
      </c>
      <c r="E9" s="4" t="s">
        <v>18</v>
      </c>
      <c r="F9" s="14" t="s">
        <v>70</v>
      </c>
      <c r="G9" s="151" t="s">
        <v>17</v>
      </c>
      <c r="H9" s="154" t="s">
        <v>22</v>
      </c>
      <c r="I9" s="30" t="s">
        <v>69</v>
      </c>
      <c r="J9" s="37"/>
    </row>
    <row r="10" spans="1:10" ht="69">
      <c r="B10" s="5" t="s">
        <v>16</v>
      </c>
      <c r="C10" s="54" t="s">
        <v>17</v>
      </c>
      <c r="D10" s="19" t="s">
        <v>134</v>
      </c>
      <c r="E10" s="4" t="s">
        <v>77</v>
      </c>
      <c r="F10" s="15" t="s">
        <v>71</v>
      </c>
      <c r="G10" s="152" t="s">
        <v>17</v>
      </c>
      <c r="H10" s="154" t="s">
        <v>22</v>
      </c>
      <c r="I10" s="30" t="s">
        <v>66</v>
      </c>
      <c r="J10" s="37"/>
    </row>
    <row r="11" spans="1:10" ht="69">
      <c r="B11" s="5" t="s">
        <v>16</v>
      </c>
      <c r="C11" s="54" t="s">
        <v>17</v>
      </c>
      <c r="D11" s="19" t="s">
        <v>19</v>
      </c>
      <c r="E11" s="4" t="s">
        <v>19</v>
      </c>
      <c r="F11" s="14" t="s">
        <v>72</v>
      </c>
      <c r="G11" s="154" t="s">
        <v>22</v>
      </c>
      <c r="H11" s="154" t="s">
        <v>22</v>
      </c>
      <c r="I11" s="31" t="s">
        <v>20</v>
      </c>
      <c r="J11" s="37"/>
    </row>
    <row r="12" spans="1:10" ht="69">
      <c r="B12" s="5" t="s">
        <v>374</v>
      </c>
      <c r="C12" s="54" t="s">
        <v>17</v>
      </c>
      <c r="D12" s="19" t="s">
        <v>135</v>
      </c>
      <c r="E12" s="4" t="s">
        <v>76</v>
      </c>
      <c r="F12" s="15" t="s">
        <v>73</v>
      </c>
      <c r="G12" s="152" t="s">
        <v>17</v>
      </c>
      <c r="H12" s="154" t="s">
        <v>22</v>
      </c>
      <c r="I12" s="30" t="s">
        <v>67</v>
      </c>
      <c r="J12" s="37"/>
    </row>
    <row r="13" spans="1:10" ht="63">
      <c r="B13" s="5" t="s">
        <v>16</v>
      </c>
      <c r="C13" s="54" t="s">
        <v>17</v>
      </c>
      <c r="D13" s="19" t="s">
        <v>136</v>
      </c>
      <c r="E13" s="4" t="s">
        <v>79</v>
      </c>
      <c r="F13" s="15" t="s">
        <v>75</v>
      </c>
      <c r="G13" s="152" t="s">
        <v>17</v>
      </c>
      <c r="H13" s="154" t="s">
        <v>22</v>
      </c>
      <c r="I13" s="32" t="s">
        <v>74</v>
      </c>
      <c r="J13" s="37"/>
    </row>
    <row r="14" spans="1:10" ht="63">
      <c r="B14" s="5" t="s">
        <v>16</v>
      </c>
      <c r="C14" s="54" t="s">
        <v>17</v>
      </c>
      <c r="D14" s="18" t="s">
        <v>21</v>
      </c>
      <c r="E14" s="5" t="s">
        <v>78</v>
      </c>
      <c r="F14" s="11" t="s">
        <v>81</v>
      </c>
      <c r="G14" s="152" t="s">
        <v>17</v>
      </c>
      <c r="H14" s="154" t="s">
        <v>22</v>
      </c>
      <c r="I14" s="32" t="s">
        <v>80</v>
      </c>
      <c r="J14" s="37"/>
    </row>
    <row r="15" spans="1:10" ht="63">
      <c r="B15" s="5" t="s">
        <v>16</v>
      </c>
      <c r="C15" s="54" t="s">
        <v>17</v>
      </c>
      <c r="D15" s="19" t="s">
        <v>137</v>
      </c>
      <c r="E15" s="4" t="s">
        <v>93</v>
      </c>
      <c r="F15" s="11" t="s">
        <v>83</v>
      </c>
      <c r="G15" s="152" t="s">
        <v>17</v>
      </c>
      <c r="H15" s="154" t="s">
        <v>22</v>
      </c>
      <c r="I15" s="32" t="s">
        <v>82</v>
      </c>
      <c r="J15" s="37"/>
    </row>
    <row r="16" spans="1:10" ht="42">
      <c r="B16" s="5" t="s">
        <v>16</v>
      </c>
      <c r="C16" s="54" t="s">
        <v>17</v>
      </c>
      <c r="D16" s="18" t="s">
        <v>85</v>
      </c>
      <c r="E16" s="11" t="s">
        <v>377</v>
      </c>
      <c r="F16" s="5" t="s">
        <v>87</v>
      </c>
      <c r="G16" s="152" t="s">
        <v>17</v>
      </c>
      <c r="H16" s="154" t="s">
        <v>22</v>
      </c>
      <c r="I16" s="32" t="s">
        <v>86</v>
      </c>
      <c r="J16" s="37"/>
    </row>
    <row r="17" spans="2:10" ht="126">
      <c r="B17" s="5" t="s">
        <v>16</v>
      </c>
      <c r="C17" s="54" t="s">
        <v>17</v>
      </c>
      <c r="D17" s="18" t="s">
        <v>468</v>
      </c>
      <c r="E17" s="5" t="s">
        <v>94</v>
      </c>
      <c r="F17" s="11" t="s">
        <v>92</v>
      </c>
      <c r="G17" s="152" t="s">
        <v>17</v>
      </c>
      <c r="H17" s="154" t="s">
        <v>22</v>
      </c>
      <c r="I17" s="32" t="s">
        <v>91</v>
      </c>
      <c r="J17" s="37"/>
    </row>
    <row r="18" spans="2:10" ht="189">
      <c r="B18" s="5" t="s">
        <v>16</v>
      </c>
      <c r="C18" s="54" t="s">
        <v>17</v>
      </c>
      <c r="D18" s="18" t="s">
        <v>469</v>
      </c>
      <c r="E18" s="5" t="s">
        <v>378</v>
      </c>
      <c r="F18" s="11" t="s">
        <v>96</v>
      </c>
      <c r="G18" s="152" t="s">
        <v>17</v>
      </c>
      <c r="H18" s="154" t="s">
        <v>22</v>
      </c>
      <c r="I18" s="34" t="s">
        <v>95</v>
      </c>
      <c r="J18" s="37"/>
    </row>
    <row r="19" spans="2:10" ht="69">
      <c r="B19" s="5" t="s">
        <v>151</v>
      </c>
      <c r="C19" s="54" t="s">
        <v>17</v>
      </c>
      <c r="D19" s="19" t="s">
        <v>32</v>
      </c>
      <c r="E19" s="4" t="s">
        <v>32</v>
      </c>
      <c r="F19" s="40" t="s">
        <v>101</v>
      </c>
      <c r="G19" s="154" t="s">
        <v>22</v>
      </c>
      <c r="H19" s="154" t="s">
        <v>22</v>
      </c>
      <c r="I19" s="39" t="s">
        <v>98</v>
      </c>
      <c r="J19" s="37"/>
    </row>
    <row r="20" spans="2:10" ht="210">
      <c r="B20" s="5" t="s">
        <v>151</v>
      </c>
      <c r="C20" s="54" t="s">
        <v>17</v>
      </c>
      <c r="D20" s="19" t="s">
        <v>138</v>
      </c>
      <c r="E20" s="4" t="s">
        <v>457</v>
      </c>
      <c r="F20" s="41" t="s">
        <v>100</v>
      </c>
      <c r="G20" s="154" t="s">
        <v>22</v>
      </c>
      <c r="H20" s="154" t="s">
        <v>22</v>
      </c>
      <c r="I20" s="32" t="s">
        <v>33</v>
      </c>
      <c r="J20" s="37"/>
    </row>
    <row r="21" spans="2:10" ht="117" customHeight="1">
      <c r="B21" s="5" t="s">
        <v>151</v>
      </c>
      <c r="C21" s="54" t="s">
        <v>17</v>
      </c>
      <c r="D21" s="19" t="s">
        <v>139</v>
      </c>
      <c r="E21" s="4" t="s">
        <v>34</v>
      </c>
      <c r="F21" s="41" t="s">
        <v>99</v>
      </c>
      <c r="G21" s="154" t="s">
        <v>22</v>
      </c>
      <c r="H21" s="154" t="s">
        <v>22</v>
      </c>
      <c r="I21" s="32" t="s">
        <v>35</v>
      </c>
      <c r="J21" s="42" t="s">
        <v>102</v>
      </c>
    </row>
    <row r="22" spans="2:10" ht="105">
      <c r="B22" s="5" t="s">
        <v>151</v>
      </c>
      <c r="C22" s="54" t="s">
        <v>17</v>
      </c>
      <c r="D22" s="18" t="s">
        <v>456</v>
      </c>
      <c r="E22" s="5" t="s">
        <v>36</v>
      </c>
      <c r="F22" s="43" t="s">
        <v>103</v>
      </c>
      <c r="G22" s="154" t="s">
        <v>22</v>
      </c>
      <c r="H22" s="154" t="s">
        <v>22</v>
      </c>
      <c r="I22" s="32" t="s">
        <v>37</v>
      </c>
      <c r="J22" s="37"/>
    </row>
    <row r="23" spans="2:10" ht="20" customHeight="1">
      <c r="B23" s="5" t="s">
        <v>151</v>
      </c>
      <c r="C23" s="54" t="s">
        <v>17</v>
      </c>
      <c r="D23" s="19" t="s">
        <v>38</v>
      </c>
      <c r="E23" s="4" t="s">
        <v>38</v>
      </c>
      <c r="F23" s="14" t="s">
        <v>104</v>
      </c>
      <c r="G23" s="154" t="s">
        <v>22</v>
      </c>
      <c r="H23" s="154" t="s">
        <v>22</v>
      </c>
      <c r="I23" s="35" t="s">
        <v>39</v>
      </c>
      <c r="J23" s="37"/>
    </row>
    <row r="24" spans="2:10" ht="69">
      <c r="B24" s="5" t="s">
        <v>41</v>
      </c>
      <c r="C24" s="54" t="s">
        <v>17</v>
      </c>
      <c r="D24" s="20" t="s">
        <v>140</v>
      </c>
      <c r="E24" s="13" t="s">
        <v>107</v>
      </c>
      <c r="F24" s="14" t="s">
        <v>130</v>
      </c>
      <c r="G24" s="152" t="s">
        <v>17</v>
      </c>
      <c r="H24" s="154" t="s">
        <v>22</v>
      </c>
      <c r="I24" s="32" t="s">
        <v>42</v>
      </c>
      <c r="J24" s="37"/>
    </row>
    <row r="25" spans="2:10" ht="210">
      <c r="B25" s="5" t="s">
        <v>41</v>
      </c>
      <c r="C25" s="54" t="s">
        <v>17</v>
      </c>
      <c r="D25" s="20" t="s">
        <v>141</v>
      </c>
      <c r="E25" s="13" t="s">
        <v>106</v>
      </c>
      <c r="F25" s="15" t="s">
        <v>127</v>
      </c>
      <c r="G25" s="152" t="s">
        <v>17</v>
      </c>
      <c r="H25" s="154" t="s">
        <v>22</v>
      </c>
      <c r="I25" s="32" t="s">
        <v>43</v>
      </c>
      <c r="J25" s="37"/>
    </row>
    <row r="26" spans="2:10" s="53" customFormat="1" ht="42">
      <c r="B26" s="47" t="s">
        <v>375</v>
      </c>
      <c r="C26" s="55" t="s">
        <v>17</v>
      </c>
      <c r="D26" s="48" t="s">
        <v>142</v>
      </c>
      <c r="E26" s="49" t="s">
        <v>44</v>
      </c>
      <c r="F26" s="50" t="s">
        <v>129</v>
      </c>
      <c r="G26" s="152" t="s">
        <v>17</v>
      </c>
      <c r="H26" s="154" t="s">
        <v>22</v>
      </c>
      <c r="I26" s="51" t="s">
        <v>45</v>
      </c>
      <c r="J26" s="52"/>
    </row>
    <row r="27" spans="2:10" s="53" customFormat="1" ht="42">
      <c r="B27" s="47" t="s">
        <v>41</v>
      </c>
      <c r="C27" s="55" t="s">
        <v>17</v>
      </c>
      <c r="D27" s="48" t="s">
        <v>143</v>
      </c>
      <c r="E27" s="49" t="s">
        <v>46</v>
      </c>
      <c r="F27" s="50" t="s">
        <v>128</v>
      </c>
      <c r="G27" s="152" t="s">
        <v>17</v>
      </c>
      <c r="H27" s="154" t="s">
        <v>22</v>
      </c>
      <c r="I27" s="51" t="s">
        <v>47</v>
      </c>
      <c r="J27" s="52"/>
    </row>
    <row r="28" spans="2:10" ht="46">
      <c r="B28" s="5" t="s">
        <v>41</v>
      </c>
      <c r="C28" s="54" t="s">
        <v>17</v>
      </c>
      <c r="D28" s="168" t="s">
        <v>105</v>
      </c>
      <c r="E28" s="13" t="s">
        <v>108</v>
      </c>
      <c r="F28" s="14" t="s">
        <v>113</v>
      </c>
      <c r="G28" s="154" t="s">
        <v>22</v>
      </c>
      <c r="H28" s="154" t="s">
        <v>22</v>
      </c>
      <c r="I28" s="32" t="s">
        <v>50</v>
      </c>
      <c r="J28" s="37"/>
    </row>
    <row r="29" spans="2:10" ht="42">
      <c r="B29" s="5" t="s">
        <v>41</v>
      </c>
      <c r="C29" s="54" t="s">
        <v>17</v>
      </c>
      <c r="D29" s="19" t="s">
        <v>144</v>
      </c>
      <c r="E29" s="4" t="s">
        <v>51</v>
      </c>
      <c r="F29" s="14" t="s">
        <v>113</v>
      </c>
      <c r="G29" s="152" t="s">
        <v>17</v>
      </c>
      <c r="H29" s="154" t="s">
        <v>22</v>
      </c>
      <c r="I29" s="32" t="s">
        <v>50</v>
      </c>
      <c r="J29" s="37"/>
    </row>
    <row r="30" spans="2:10" ht="84">
      <c r="B30" s="5" t="s">
        <v>41</v>
      </c>
      <c r="C30" s="54" t="s">
        <v>17</v>
      </c>
      <c r="D30" s="19" t="s">
        <v>145</v>
      </c>
      <c r="E30" s="13" t="s">
        <v>52</v>
      </c>
      <c r="F30" s="14" t="s">
        <v>114</v>
      </c>
      <c r="G30" s="152" t="s">
        <v>17</v>
      </c>
      <c r="H30" s="154" t="s">
        <v>22</v>
      </c>
      <c r="I30" s="32" t="s">
        <v>53</v>
      </c>
      <c r="J30" s="37"/>
    </row>
    <row r="31" spans="2:10" s="10" customFormat="1">
      <c r="B31" s="8" t="s">
        <v>151</v>
      </c>
      <c r="C31" s="56" t="s">
        <v>22</v>
      </c>
      <c r="D31" s="21" t="s">
        <v>40</v>
      </c>
      <c r="E31" s="6" t="s">
        <v>125</v>
      </c>
      <c r="F31" s="16" t="s">
        <v>126</v>
      </c>
      <c r="G31" s="153" t="s">
        <v>455</v>
      </c>
      <c r="H31" s="153" t="s">
        <v>455</v>
      </c>
      <c r="I31" s="46" t="s">
        <v>120</v>
      </c>
      <c r="J31" s="38"/>
    </row>
    <row r="32" spans="2:10" s="10" customFormat="1" ht="48">
      <c r="B32" s="8" t="s">
        <v>16</v>
      </c>
      <c r="C32" s="56" t="s">
        <v>22</v>
      </c>
      <c r="D32" s="22" t="s">
        <v>459</v>
      </c>
      <c r="E32" s="8" t="s">
        <v>28</v>
      </c>
      <c r="F32" s="8" t="s">
        <v>122</v>
      </c>
      <c r="G32" s="153" t="s">
        <v>444</v>
      </c>
      <c r="H32" s="153" t="s">
        <v>444</v>
      </c>
      <c r="I32" s="33" t="s">
        <v>29</v>
      </c>
      <c r="J32" s="38"/>
    </row>
    <row r="33" spans="2:10" s="10" customFormat="1" ht="72">
      <c r="B33" s="8" t="s">
        <v>16</v>
      </c>
      <c r="C33" s="56" t="s">
        <v>22</v>
      </c>
      <c r="D33" s="22" t="s">
        <v>460</v>
      </c>
      <c r="E33" s="7" t="s">
        <v>24</v>
      </c>
      <c r="F33" s="7" t="s">
        <v>121</v>
      </c>
      <c r="G33" s="153" t="s">
        <v>444</v>
      </c>
      <c r="H33" s="153" t="s">
        <v>444</v>
      </c>
      <c r="I33" s="33" t="s">
        <v>25</v>
      </c>
      <c r="J33" s="38"/>
    </row>
    <row r="34" spans="2:10" s="10" customFormat="1" ht="126">
      <c r="B34" s="8" t="s">
        <v>16</v>
      </c>
      <c r="C34" s="56" t="s">
        <v>22</v>
      </c>
      <c r="D34" s="23" t="s">
        <v>461</v>
      </c>
      <c r="E34" s="8" t="s">
        <v>30</v>
      </c>
      <c r="F34" s="8" t="s">
        <v>123</v>
      </c>
      <c r="G34" s="153" t="s">
        <v>455</v>
      </c>
      <c r="H34" s="153" t="s">
        <v>455</v>
      </c>
      <c r="I34" s="33" t="s">
        <v>31</v>
      </c>
      <c r="J34" s="38"/>
    </row>
    <row r="35" spans="2:10" s="10" customFormat="1" ht="189">
      <c r="B35" s="8" t="s">
        <v>16</v>
      </c>
      <c r="C35" s="56" t="s">
        <v>22</v>
      </c>
      <c r="D35" s="21" t="s">
        <v>146</v>
      </c>
      <c r="E35" s="6" t="s">
        <v>26</v>
      </c>
      <c r="F35" s="7" t="s">
        <v>124</v>
      </c>
      <c r="G35" s="153" t="s">
        <v>444</v>
      </c>
      <c r="H35" s="153" t="s">
        <v>444</v>
      </c>
      <c r="I35" s="33" t="s">
        <v>27</v>
      </c>
      <c r="J35" s="38"/>
    </row>
    <row r="36" spans="2:10" s="10" customFormat="1" ht="63">
      <c r="B36" s="8" t="s">
        <v>16</v>
      </c>
      <c r="C36" s="56" t="s">
        <v>22</v>
      </c>
      <c r="D36" s="21" t="s">
        <v>147</v>
      </c>
      <c r="E36" s="6" t="s">
        <v>23</v>
      </c>
      <c r="F36" s="7" t="s">
        <v>81</v>
      </c>
      <c r="G36" s="153" t="s">
        <v>444</v>
      </c>
      <c r="H36" s="153" t="s">
        <v>455</v>
      </c>
      <c r="I36" s="33" t="s">
        <v>84</v>
      </c>
      <c r="J36" s="38"/>
    </row>
    <row r="37" spans="2:10" s="10" customFormat="1" ht="42">
      <c r="B37" s="8" t="s">
        <v>41</v>
      </c>
      <c r="C37" s="56" t="s">
        <v>22</v>
      </c>
      <c r="D37" s="21" t="s">
        <v>48</v>
      </c>
      <c r="E37" s="6" t="s">
        <v>48</v>
      </c>
      <c r="F37" s="16" t="s">
        <v>131</v>
      </c>
      <c r="G37" s="153" t="s">
        <v>455</v>
      </c>
      <c r="H37" s="153" t="s">
        <v>455</v>
      </c>
      <c r="I37" s="33" t="s">
        <v>49</v>
      </c>
      <c r="J37" s="38"/>
    </row>
    <row r="38" spans="2:10" s="10" customFormat="1" ht="42">
      <c r="B38" s="8" t="s">
        <v>41</v>
      </c>
      <c r="C38" s="56" t="s">
        <v>22</v>
      </c>
      <c r="D38" s="21" t="s">
        <v>54</v>
      </c>
      <c r="E38" s="44" t="s">
        <v>54</v>
      </c>
      <c r="F38" s="16" t="s">
        <v>112</v>
      </c>
      <c r="G38" s="153" t="s">
        <v>455</v>
      </c>
      <c r="H38" s="153" t="s">
        <v>455</v>
      </c>
      <c r="I38" s="33" t="s">
        <v>55</v>
      </c>
      <c r="J38" s="38"/>
    </row>
    <row r="39" spans="2:10" s="10" customFormat="1" ht="63">
      <c r="B39" s="8" t="s">
        <v>41</v>
      </c>
      <c r="C39" s="56" t="s">
        <v>22</v>
      </c>
      <c r="D39" s="21" t="s">
        <v>111</v>
      </c>
      <c r="E39" s="44" t="s">
        <v>56</v>
      </c>
      <c r="F39" s="16" t="s">
        <v>115</v>
      </c>
      <c r="G39" s="153" t="s">
        <v>455</v>
      </c>
      <c r="H39" s="153" t="s">
        <v>455</v>
      </c>
      <c r="I39" s="33" t="s">
        <v>57</v>
      </c>
      <c r="J39" s="38"/>
    </row>
    <row r="40" spans="2:10" s="10" customFormat="1" ht="63">
      <c r="B40" s="8" t="s">
        <v>41</v>
      </c>
      <c r="C40" s="56" t="s">
        <v>22</v>
      </c>
      <c r="D40" s="21" t="s">
        <v>58</v>
      </c>
      <c r="E40" s="44" t="s">
        <v>58</v>
      </c>
      <c r="F40" s="45" t="s">
        <v>117</v>
      </c>
      <c r="G40" s="153" t="s">
        <v>455</v>
      </c>
      <c r="H40" s="153" t="s">
        <v>455</v>
      </c>
      <c r="I40" s="33" t="s">
        <v>59</v>
      </c>
      <c r="J40" s="38"/>
    </row>
    <row r="41" spans="2:10" s="10" customFormat="1" ht="84">
      <c r="B41" s="8" t="s">
        <v>41</v>
      </c>
      <c r="C41" s="56" t="s">
        <v>22</v>
      </c>
      <c r="D41" s="21" t="s">
        <v>110</v>
      </c>
      <c r="E41" s="44" t="s">
        <v>60</v>
      </c>
      <c r="F41" s="45" t="s">
        <v>116</v>
      </c>
      <c r="G41" s="153" t="s">
        <v>455</v>
      </c>
      <c r="H41" s="153" t="s">
        <v>455</v>
      </c>
      <c r="I41" s="33" t="s">
        <v>61</v>
      </c>
      <c r="J41" s="38"/>
    </row>
    <row r="42" spans="2:10" s="10" customFormat="1" ht="168">
      <c r="B42" s="8" t="s">
        <v>41</v>
      </c>
      <c r="C42" s="56" t="s">
        <v>22</v>
      </c>
      <c r="D42" s="21" t="s">
        <v>148</v>
      </c>
      <c r="E42" s="44" t="s">
        <v>62</v>
      </c>
      <c r="F42" s="45" t="s">
        <v>118</v>
      </c>
      <c r="G42" s="153" t="s">
        <v>455</v>
      </c>
      <c r="H42" s="153" t="s">
        <v>455</v>
      </c>
      <c r="I42" s="33" t="s">
        <v>63</v>
      </c>
      <c r="J42" s="38"/>
    </row>
    <row r="43" spans="2:10" s="10" customFormat="1" ht="126">
      <c r="B43" s="8" t="s">
        <v>41</v>
      </c>
      <c r="C43" s="56" t="s">
        <v>22</v>
      </c>
      <c r="D43" s="21" t="s">
        <v>109</v>
      </c>
      <c r="E43" s="44" t="s">
        <v>64</v>
      </c>
      <c r="F43" s="45" t="s">
        <v>119</v>
      </c>
      <c r="G43" s="153" t="s">
        <v>455</v>
      </c>
      <c r="H43" s="153" t="s">
        <v>455</v>
      </c>
      <c r="I43" s="33" t="s">
        <v>65</v>
      </c>
      <c r="J43" s="38"/>
    </row>
  </sheetData>
  <autoFilter ref="A8:J43" xr:uid="{AA6EECB2-F5E2-6C4D-A5EF-B4EE3A5B8E40}"/>
  <mergeCells count="1">
    <mergeCell ref="B4:F6"/>
  </mergeCells>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BEFDF-7410-714D-BD4A-AF789A1FA829}">
  <sheetPr codeName="Sheet5"/>
  <dimension ref="A1:E47"/>
  <sheetViews>
    <sheetView workbookViewId="0">
      <selection activeCell="D21" sqref="D21"/>
    </sheetView>
  </sheetViews>
  <sheetFormatPr baseColWidth="10" defaultRowHeight="20"/>
  <cols>
    <col min="1" max="1" width="6.42578125" customWidth="1"/>
    <col min="3" max="3" width="31.5703125" bestFit="1" customWidth="1"/>
    <col min="4" max="4" width="20.5703125" bestFit="1" customWidth="1"/>
  </cols>
  <sheetData>
    <row r="1" spans="1:5">
      <c r="A1" t="s">
        <v>181</v>
      </c>
    </row>
    <row r="2" spans="1:5">
      <c r="A2" t="s">
        <v>182</v>
      </c>
    </row>
    <row r="3" spans="1:5">
      <c r="B3" t="s">
        <v>308</v>
      </c>
      <c r="C3" t="s">
        <v>184</v>
      </c>
      <c r="D3" t="s">
        <v>185</v>
      </c>
      <c r="E3" t="s">
        <v>186</v>
      </c>
    </row>
    <row r="4" spans="1:5">
      <c r="A4" t="s">
        <v>182</v>
      </c>
    </row>
    <row r="5" spans="1:5">
      <c r="B5" t="s">
        <v>187</v>
      </c>
      <c r="C5" t="s">
        <v>188</v>
      </c>
      <c r="D5" t="s">
        <v>189</v>
      </c>
      <c r="E5">
        <v>1</v>
      </c>
    </row>
    <row r="6" spans="1:5">
      <c r="B6" t="s">
        <v>190</v>
      </c>
      <c r="C6" t="s">
        <v>191</v>
      </c>
      <c r="D6" t="s">
        <v>192</v>
      </c>
      <c r="E6">
        <v>1</v>
      </c>
    </row>
    <row r="7" spans="1:5">
      <c r="B7" t="s">
        <v>193</v>
      </c>
      <c r="C7" t="s">
        <v>194</v>
      </c>
      <c r="D7" t="s">
        <v>195</v>
      </c>
      <c r="E7">
        <v>2</v>
      </c>
    </row>
    <row r="8" spans="1:5">
      <c r="B8" t="s">
        <v>196</v>
      </c>
      <c r="C8" t="s">
        <v>197</v>
      </c>
      <c r="D8" t="s">
        <v>198</v>
      </c>
      <c r="E8">
        <v>1</v>
      </c>
    </row>
    <row r="9" spans="1:5">
      <c r="B9" t="s">
        <v>199</v>
      </c>
      <c r="C9" t="s">
        <v>200</v>
      </c>
      <c r="D9" t="s">
        <v>201</v>
      </c>
      <c r="E9">
        <v>1</v>
      </c>
    </row>
    <row r="10" spans="1:5">
      <c r="B10" t="s">
        <v>202</v>
      </c>
      <c r="C10" t="s">
        <v>203</v>
      </c>
      <c r="D10" t="s">
        <v>204</v>
      </c>
      <c r="E10">
        <v>1</v>
      </c>
    </row>
    <row r="11" spans="1:5">
      <c r="B11" t="s">
        <v>205</v>
      </c>
      <c r="C11" t="s">
        <v>206</v>
      </c>
      <c r="D11" t="s">
        <v>207</v>
      </c>
      <c r="E11">
        <v>1</v>
      </c>
    </row>
    <row r="12" spans="1:5">
      <c r="B12" t="s">
        <v>208</v>
      </c>
      <c r="C12" t="s">
        <v>209</v>
      </c>
      <c r="D12" t="s">
        <v>210</v>
      </c>
      <c r="E12">
        <v>1</v>
      </c>
    </row>
    <row r="13" spans="1:5">
      <c r="B13" t="s">
        <v>211</v>
      </c>
      <c r="C13" t="s">
        <v>212</v>
      </c>
      <c r="D13" t="s">
        <v>213</v>
      </c>
      <c r="E13">
        <v>1</v>
      </c>
    </row>
    <row r="14" spans="1:5">
      <c r="B14" t="s">
        <v>214</v>
      </c>
      <c r="C14" t="s">
        <v>215</v>
      </c>
      <c r="D14" t="s">
        <v>216</v>
      </c>
      <c r="E14">
        <v>1</v>
      </c>
    </row>
    <row r="15" spans="1:5">
      <c r="B15" t="s">
        <v>217</v>
      </c>
      <c r="C15" t="s">
        <v>218</v>
      </c>
      <c r="D15" t="s">
        <v>219</v>
      </c>
      <c r="E15">
        <v>1</v>
      </c>
    </row>
    <row r="16" spans="1:5">
      <c r="B16" t="s">
        <v>220</v>
      </c>
      <c r="C16" t="s">
        <v>221</v>
      </c>
      <c r="D16" t="s">
        <v>222</v>
      </c>
      <c r="E16">
        <v>2</v>
      </c>
    </row>
    <row r="17" spans="2:5">
      <c r="B17" t="s">
        <v>309</v>
      </c>
      <c r="C17" t="s">
        <v>223</v>
      </c>
      <c r="D17" t="s">
        <v>224</v>
      </c>
      <c r="E17">
        <v>1</v>
      </c>
    </row>
    <row r="18" spans="2:5">
      <c r="B18" t="s">
        <v>225</v>
      </c>
      <c r="C18" t="s">
        <v>226</v>
      </c>
      <c r="D18" t="s">
        <v>227</v>
      </c>
      <c r="E18">
        <v>3</v>
      </c>
    </row>
    <row r="19" spans="2:5">
      <c r="B19" t="s">
        <v>228</v>
      </c>
      <c r="C19" t="s">
        <v>229</v>
      </c>
      <c r="D19" t="s">
        <v>230</v>
      </c>
      <c r="E19">
        <v>2</v>
      </c>
    </row>
    <row r="20" spans="2:5">
      <c r="B20" t="s">
        <v>231</v>
      </c>
      <c r="C20" t="s">
        <v>232</v>
      </c>
      <c r="D20" t="s">
        <v>233</v>
      </c>
      <c r="E20">
        <v>4</v>
      </c>
    </row>
    <row r="21" spans="2:5">
      <c r="B21" t="s">
        <v>234</v>
      </c>
      <c r="C21" t="s">
        <v>235</v>
      </c>
      <c r="D21" t="s">
        <v>236</v>
      </c>
      <c r="E21">
        <v>2</v>
      </c>
    </row>
    <row r="22" spans="2:5">
      <c r="B22" t="s">
        <v>237</v>
      </c>
      <c r="C22" t="s">
        <v>238</v>
      </c>
      <c r="D22" t="s">
        <v>239</v>
      </c>
      <c r="E22">
        <v>2</v>
      </c>
    </row>
    <row r="23" spans="2:5">
      <c r="B23" t="s">
        <v>240</v>
      </c>
      <c r="C23" t="s">
        <v>241</v>
      </c>
      <c r="D23" t="s">
        <v>242</v>
      </c>
      <c r="E23">
        <v>1</v>
      </c>
    </row>
    <row r="24" spans="2:5">
      <c r="B24" t="s">
        <v>243</v>
      </c>
      <c r="C24" t="s">
        <v>244</v>
      </c>
      <c r="D24" t="s">
        <v>245</v>
      </c>
      <c r="E24">
        <v>1</v>
      </c>
    </row>
    <row r="25" spans="2:5">
      <c r="B25" t="s">
        <v>246</v>
      </c>
      <c r="C25" t="s">
        <v>247</v>
      </c>
      <c r="D25" t="s">
        <v>248</v>
      </c>
      <c r="E25">
        <v>1</v>
      </c>
    </row>
    <row r="26" spans="2:5">
      <c r="B26" t="s">
        <v>249</v>
      </c>
      <c r="C26" t="s">
        <v>250</v>
      </c>
      <c r="D26" t="s">
        <v>251</v>
      </c>
      <c r="E26">
        <v>1</v>
      </c>
    </row>
    <row r="27" spans="2:5">
      <c r="B27" t="s">
        <v>252</v>
      </c>
      <c r="C27" t="s">
        <v>253</v>
      </c>
      <c r="D27" t="s">
        <v>254</v>
      </c>
      <c r="E27">
        <v>1</v>
      </c>
    </row>
    <row r="28" spans="2:5">
      <c r="B28" t="s">
        <v>255</v>
      </c>
      <c r="C28" t="s">
        <v>256</v>
      </c>
      <c r="D28" t="s">
        <v>257</v>
      </c>
      <c r="E28">
        <v>1</v>
      </c>
    </row>
    <row r="29" spans="2:5">
      <c r="B29" t="s">
        <v>258</v>
      </c>
      <c r="C29" t="s">
        <v>259</v>
      </c>
      <c r="D29" t="s">
        <v>260</v>
      </c>
      <c r="E29">
        <v>1</v>
      </c>
    </row>
    <row r="30" spans="2:5">
      <c r="B30" t="s">
        <v>261</v>
      </c>
      <c r="C30" t="s">
        <v>262</v>
      </c>
      <c r="D30" t="s">
        <v>263</v>
      </c>
      <c r="E30">
        <v>1</v>
      </c>
    </row>
    <row r="31" spans="2:5">
      <c r="B31" t="s">
        <v>264</v>
      </c>
      <c r="C31" t="s">
        <v>265</v>
      </c>
      <c r="D31" t="s">
        <v>266</v>
      </c>
      <c r="E31">
        <v>1</v>
      </c>
    </row>
    <row r="32" spans="2:5">
      <c r="B32" t="s">
        <v>267</v>
      </c>
      <c r="C32" t="s">
        <v>268</v>
      </c>
      <c r="D32" t="s">
        <v>269</v>
      </c>
      <c r="E32">
        <v>1</v>
      </c>
    </row>
    <row r="33" spans="1:5">
      <c r="B33" t="s">
        <v>270</v>
      </c>
      <c r="C33" t="s">
        <v>271</v>
      </c>
      <c r="D33" t="s">
        <v>272</v>
      </c>
      <c r="E33">
        <v>1</v>
      </c>
    </row>
    <row r="34" spans="1:5">
      <c r="B34" t="s">
        <v>273</v>
      </c>
      <c r="C34" t="s">
        <v>274</v>
      </c>
      <c r="D34" t="s">
        <v>275</v>
      </c>
      <c r="E34">
        <v>1</v>
      </c>
    </row>
    <row r="35" spans="1:5">
      <c r="B35" t="s">
        <v>276</v>
      </c>
      <c r="C35" t="s">
        <v>277</v>
      </c>
      <c r="D35" t="s">
        <v>278</v>
      </c>
      <c r="E35">
        <v>1</v>
      </c>
    </row>
    <row r="36" spans="1:5">
      <c r="B36" t="s">
        <v>279</v>
      </c>
      <c r="C36" t="s">
        <v>280</v>
      </c>
      <c r="D36" t="s">
        <v>281</v>
      </c>
      <c r="E36">
        <v>2</v>
      </c>
    </row>
    <row r="37" spans="1:5">
      <c r="B37" t="s">
        <v>282</v>
      </c>
      <c r="C37" t="s">
        <v>283</v>
      </c>
      <c r="D37" t="s">
        <v>284</v>
      </c>
      <c r="E37">
        <v>1</v>
      </c>
    </row>
    <row r="38" spans="1:5">
      <c r="B38" t="s">
        <v>285</v>
      </c>
      <c r="C38" t="s">
        <v>286</v>
      </c>
      <c r="D38" t="s">
        <v>287</v>
      </c>
      <c r="E38">
        <v>1</v>
      </c>
    </row>
    <row r="39" spans="1:5">
      <c r="B39" t="s">
        <v>288</v>
      </c>
      <c r="C39" t="s">
        <v>289</v>
      </c>
      <c r="D39" t="s">
        <v>290</v>
      </c>
      <c r="E39">
        <v>2</v>
      </c>
    </row>
    <row r="40" spans="1:5">
      <c r="B40" t="s">
        <v>291</v>
      </c>
      <c r="C40" t="s">
        <v>292</v>
      </c>
      <c r="D40" t="s">
        <v>293</v>
      </c>
      <c r="E40">
        <v>3</v>
      </c>
    </row>
    <row r="41" spans="1:5">
      <c r="B41" t="s">
        <v>294</v>
      </c>
      <c r="C41" t="s">
        <v>295</v>
      </c>
      <c r="D41" t="s">
        <v>296</v>
      </c>
      <c r="E41">
        <v>4</v>
      </c>
    </row>
    <row r="42" spans="1:5">
      <c r="B42" t="s">
        <v>297</v>
      </c>
      <c r="C42" t="s">
        <v>298</v>
      </c>
      <c r="D42" t="s">
        <v>299</v>
      </c>
      <c r="E42">
        <v>4</v>
      </c>
    </row>
    <row r="43" spans="1:5">
      <c r="B43" t="s">
        <v>300</v>
      </c>
      <c r="C43" t="s">
        <v>301</v>
      </c>
      <c r="D43" t="s">
        <v>302</v>
      </c>
      <c r="E43">
        <v>4</v>
      </c>
    </row>
    <row r="44" spans="1:5">
      <c r="B44" t="s">
        <v>303</v>
      </c>
      <c r="C44" t="s">
        <v>304</v>
      </c>
      <c r="D44" t="s">
        <v>305</v>
      </c>
      <c r="E44">
        <v>3</v>
      </c>
    </row>
    <row r="45" spans="1:5">
      <c r="B45" t="s">
        <v>306</v>
      </c>
      <c r="C45" t="s">
        <v>304</v>
      </c>
      <c r="D45" t="s">
        <v>307</v>
      </c>
      <c r="E45">
        <v>4</v>
      </c>
    </row>
    <row r="46" spans="1:5">
      <c r="A46" t="s">
        <v>182</v>
      </c>
    </row>
    <row r="47" spans="1:5">
      <c r="A47" t="s">
        <v>183</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6AF84-C4E8-8C41-86B0-ABC711BC0D77}">
  <sheetPr codeName="Sheet6"/>
  <dimension ref="A1:K50"/>
  <sheetViews>
    <sheetView topLeftCell="A2" workbookViewId="0">
      <selection activeCell="C29" sqref="C29"/>
    </sheetView>
  </sheetViews>
  <sheetFormatPr baseColWidth="10" defaultRowHeight="18"/>
  <cols>
    <col min="1" max="1" width="14" style="2" customWidth="1"/>
    <col min="2" max="2" width="4.42578125" style="2" customWidth="1"/>
    <col min="3" max="3" width="32" style="2" customWidth="1"/>
    <col min="4" max="4" width="21.140625" style="2" bestFit="1" customWidth="1"/>
    <col min="5" max="5" width="17.7109375" style="2" bestFit="1" customWidth="1"/>
    <col min="6" max="6" width="4.42578125" style="2" customWidth="1"/>
    <col min="7" max="7" width="10.7109375" style="2" customWidth="1"/>
    <col min="8" max="8" width="3.140625" style="2" customWidth="1"/>
    <col min="9" max="9" width="6" style="2" customWidth="1"/>
    <col min="10" max="10" width="15.7109375" style="67" customWidth="1"/>
    <col min="11" max="16384" width="10.7109375" style="2"/>
  </cols>
  <sheetData>
    <row r="1" spans="1:11" ht="27">
      <c r="A1" s="1" t="s">
        <v>176</v>
      </c>
    </row>
    <row r="2" spans="1:11" ht="20">
      <c r="A2" s="81" t="s">
        <v>175</v>
      </c>
    </row>
    <row r="3" spans="1:11">
      <c r="A3" s="179" t="s">
        <v>177</v>
      </c>
      <c r="B3" s="179"/>
      <c r="C3" s="179"/>
      <c r="D3" s="179"/>
      <c r="E3" s="179"/>
      <c r="F3" s="179"/>
      <c r="G3" s="179"/>
      <c r="H3" s="179"/>
      <c r="I3" s="179"/>
      <c r="J3" s="179"/>
      <c r="K3" s="179"/>
    </row>
    <row r="4" spans="1:11">
      <c r="A4" s="179"/>
      <c r="B4" s="179"/>
      <c r="C4" s="179"/>
      <c r="D4" s="179"/>
      <c r="E4" s="179"/>
      <c r="F4" s="179"/>
      <c r="G4" s="179"/>
      <c r="H4" s="179"/>
      <c r="I4" s="179"/>
      <c r="J4" s="179"/>
      <c r="K4" s="179"/>
    </row>
    <row r="5" spans="1:11">
      <c r="A5" s="179"/>
      <c r="B5" s="179"/>
      <c r="C5" s="179"/>
      <c r="D5" s="179"/>
      <c r="E5" s="179"/>
      <c r="F5" s="179"/>
      <c r="G5" s="179"/>
      <c r="H5" s="179"/>
      <c r="I5" s="179"/>
      <c r="J5" s="179"/>
      <c r="K5" s="179"/>
    </row>
    <row r="6" spans="1:11">
      <c r="A6" s="179"/>
      <c r="B6" s="179"/>
      <c r="C6" s="179"/>
      <c r="D6" s="179"/>
      <c r="E6" s="179"/>
      <c r="F6" s="179"/>
      <c r="G6" s="179"/>
      <c r="H6" s="179"/>
      <c r="I6" s="179"/>
      <c r="J6" s="179"/>
      <c r="K6" s="179"/>
    </row>
    <row r="9" spans="1:11" ht="23" customHeight="1">
      <c r="A9" s="59" t="s">
        <v>153</v>
      </c>
      <c r="C9" s="60" t="s">
        <v>16</v>
      </c>
      <c r="D9" s="60" t="s">
        <v>151</v>
      </c>
      <c r="E9" s="70" t="s">
        <v>41</v>
      </c>
      <c r="G9" s="60" t="s">
        <v>157</v>
      </c>
      <c r="J9" s="79" t="s">
        <v>159</v>
      </c>
    </row>
    <row r="10" spans="1:11" ht="21">
      <c r="A10" s="61" t="s">
        <v>16</v>
      </c>
      <c r="C10" s="62" t="s">
        <v>467</v>
      </c>
      <c r="D10" s="69" t="s">
        <v>32</v>
      </c>
      <c r="E10" s="72" t="s">
        <v>472</v>
      </c>
      <c r="G10" s="75" t="s">
        <v>158</v>
      </c>
      <c r="H10" s="2" t="s">
        <v>180</v>
      </c>
      <c r="J10" s="78" t="s">
        <v>310</v>
      </c>
    </row>
    <row r="11" spans="1:11" ht="21">
      <c r="A11" s="61" t="s">
        <v>151</v>
      </c>
      <c r="C11" s="62" t="s">
        <v>475</v>
      </c>
      <c r="D11" s="69" t="s">
        <v>464</v>
      </c>
      <c r="E11" s="72" t="s">
        <v>154</v>
      </c>
      <c r="G11" s="74" t="s">
        <v>178</v>
      </c>
      <c r="J11" s="78" t="s">
        <v>311</v>
      </c>
    </row>
    <row r="12" spans="1:11" ht="20">
      <c r="A12" s="61" t="s">
        <v>41</v>
      </c>
      <c r="C12" s="62" t="s">
        <v>19</v>
      </c>
      <c r="D12" s="69" t="s">
        <v>465</v>
      </c>
      <c r="E12" s="73" t="s">
        <v>155</v>
      </c>
      <c r="G12" s="74" t="s">
        <v>179</v>
      </c>
      <c r="J12" s="78" t="s">
        <v>312</v>
      </c>
    </row>
    <row r="13" spans="1:11" ht="20">
      <c r="C13" s="62" t="s">
        <v>476</v>
      </c>
      <c r="D13" s="64" t="s">
        <v>466</v>
      </c>
      <c r="E13" s="71" t="s">
        <v>156</v>
      </c>
      <c r="G13" s="77"/>
      <c r="J13" s="78" t="s">
        <v>313</v>
      </c>
    </row>
    <row r="14" spans="1:11" ht="21">
      <c r="A14" s="59" t="s">
        <v>174</v>
      </c>
      <c r="C14" s="62" t="s">
        <v>477</v>
      </c>
      <c r="D14" s="62" t="s">
        <v>471</v>
      </c>
      <c r="E14" s="63" t="s">
        <v>105</v>
      </c>
      <c r="J14" s="78" t="s">
        <v>314</v>
      </c>
    </row>
    <row r="15" spans="1:11" ht="20">
      <c r="A15" s="68" t="s">
        <v>172</v>
      </c>
      <c r="C15" s="64" t="s">
        <v>478</v>
      </c>
      <c r="E15" s="62" t="s">
        <v>473</v>
      </c>
      <c r="J15" s="78" t="s">
        <v>315</v>
      </c>
    </row>
    <row r="16" spans="1:11" ht="20">
      <c r="A16" s="68">
        <v>5.5</v>
      </c>
      <c r="C16" s="62" t="s">
        <v>479</v>
      </c>
      <c r="E16" s="62" t="s">
        <v>474</v>
      </c>
      <c r="J16" s="78" t="s">
        <v>316</v>
      </c>
    </row>
    <row r="17" spans="1:10" ht="20">
      <c r="A17" s="68">
        <v>5.6</v>
      </c>
      <c r="C17" s="64" t="s">
        <v>85</v>
      </c>
      <c r="J17" s="78" t="s">
        <v>317</v>
      </c>
    </row>
    <row r="18" spans="1:10" ht="20">
      <c r="A18" s="68">
        <v>5.7</v>
      </c>
      <c r="C18" s="64" t="s">
        <v>482</v>
      </c>
      <c r="J18" s="78" t="s">
        <v>318</v>
      </c>
    </row>
    <row r="19" spans="1:10" ht="20">
      <c r="A19" s="68" t="s">
        <v>171</v>
      </c>
      <c r="C19" s="64" t="s">
        <v>480</v>
      </c>
      <c r="J19" s="78" t="s">
        <v>319</v>
      </c>
    </row>
    <row r="20" spans="1:10" ht="20">
      <c r="A20" s="68" t="s">
        <v>173</v>
      </c>
      <c r="J20" s="78" t="s">
        <v>320</v>
      </c>
    </row>
    <row r="21" spans="1:10" ht="20">
      <c r="J21" s="78" t="s">
        <v>321</v>
      </c>
    </row>
    <row r="22" spans="1:10" ht="20">
      <c r="J22" s="78" t="s">
        <v>350</v>
      </c>
    </row>
    <row r="23" spans="1:10" ht="20">
      <c r="J23" s="78" t="s">
        <v>322</v>
      </c>
    </row>
    <row r="24" spans="1:10" ht="20">
      <c r="J24" s="78" t="s">
        <v>323</v>
      </c>
    </row>
    <row r="25" spans="1:10" ht="20">
      <c r="J25" s="78" t="s">
        <v>324</v>
      </c>
    </row>
    <row r="26" spans="1:10" ht="20">
      <c r="J26" s="78" t="s">
        <v>325</v>
      </c>
    </row>
    <row r="27" spans="1:10" ht="20">
      <c r="J27" s="78" t="s">
        <v>326</v>
      </c>
    </row>
    <row r="28" spans="1:10" ht="20">
      <c r="J28" s="78" t="s">
        <v>327</v>
      </c>
    </row>
    <row r="29" spans="1:10" ht="20">
      <c r="J29" s="78" t="s">
        <v>328</v>
      </c>
    </row>
    <row r="30" spans="1:10" ht="20">
      <c r="J30" s="78" t="s">
        <v>329</v>
      </c>
    </row>
    <row r="31" spans="1:10" ht="20">
      <c r="J31" s="78" t="s">
        <v>330</v>
      </c>
    </row>
    <row r="32" spans="1:10" ht="20">
      <c r="J32" s="78" t="s">
        <v>331</v>
      </c>
    </row>
    <row r="33" spans="10:10" ht="20">
      <c r="J33" s="78" t="s">
        <v>332</v>
      </c>
    </row>
    <row r="34" spans="10:10" ht="20">
      <c r="J34" s="78" t="s">
        <v>333</v>
      </c>
    </row>
    <row r="35" spans="10:10" ht="20">
      <c r="J35" s="78" t="s">
        <v>334</v>
      </c>
    </row>
    <row r="36" spans="10:10" ht="20">
      <c r="J36" s="78" t="s">
        <v>335</v>
      </c>
    </row>
    <row r="37" spans="10:10" ht="20">
      <c r="J37" s="78" t="s">
        <v>336</v>
      </c>
    </row>
    <row r="38" spans="10:10" ht="20">
      <c r="J38" s="78" t="s">
        <v>337</v>
      </c>
    </row>
    <row r="39" spans="10:10" ht="20">
      <c r="J39" s="78" t="s">
        <v>338</v>
      </c>
    </row>
    <row r="40" spans="10:10" ht="20">
      <c r="J40" s="78" t="s">
        <v>339</v>
      </c>
    </row>
    <row r="41" spans="10:10" ht="20">
      <c r="J41" s="78" t="s">
        <v>340</v>
      </c>
    </row>
    <row r="42" spans="10:10" ht="20">
      <c r="J42" s="78" t="s">
        <v>341</v>
      </c>
    </row>
    <row r="43" spans="10:10" ht="20">
      <c r="J43" s="78" t="s">
        <v>342</v>
      </c>
    </row>
    <row r="44" spans="10:10" ht="20">
      <c r="J44" s="78" t="s">
        <v>343</v>
      </c>
    </row>
    <row r="45" spans="10:10" ht="20">
      <c r="J45" s="78" t="s">
        <v>344</v>
      </c>
    </row>
    <row r="46" spans="10:10" ht="20">
      <c r="J46" s="78" t="s">
        <v>345</v>
      </c>
    </row>
    <row r="47" spans="10:10" ht="20">
      <c r="J47" s="78" t="s">
        <v>346</v>
      </c>
    </row>
    <row r="48" spans="10:10" ht="20">
      <c r="J48" s="78" t="s">
        <v>347</v>
      </c>
    </row>
    <row r="49" spans="10:10" ht="20">
      <c r="J49" s="78" t="s">
        <v>348</v>
      </c>
    </row>
    <row r="50" spans="10:10" ht="20">
      <c r="J50" s="78" t="s">
        <v>349</v>
      </c>
    </row>
  </sheetData>
  <sortState xmlns:xlrd2="http://schemas.microsoft.com/office/spreadsheetml/2017/richdata2" ref="J10:J50">
    <sortCondition ref="J9"/>
  </sortState>
  <mergeCells count="1">
    <mergeCell ref="A3:K6"/>
  </mergeCells>
  <phoneticPr fontId="1"/>
  <hyperlinks>
    <hyperlink ref="G12" r:id="rId1" xr:uid="{D4141752-BD1A-FA47-9B70-D5D25017CC72}"/>
    <hyperlink ref="G11" r:id="rId2" xr:uid="{7EE0252C-C7D5-2144-9E51-A0A14CE7F555}"/>
    <hyperlink ref="G10" r:id="rId3" xr:uid="{67205EF0-CF98-F44F-AB9B-C46B2F5ABCB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41400-7E42-9B41-B492-FF8A7BAB05A9}">
  <sheetPr codeName="Sheet7"/>
  <dimension ref="A1:AC63"/>
  <sheetViews>
    <sheetView showGridLines="0" topLeftCell="B1" zoomScale="125" workbookViewId="0">
      <selection activeCell="N32" sqref="N32"/>
    </sheetView>
  </sheetViews>
  <sheetFormatPr baseColWidth="10" defaultColWidth="11.5703125" defaultRowHeight="18"/>
  <cols>
    <col min="1" max="1" width="1.5703125" style="2" customWidth="1"/>
    <col min="2" max="2" width="4.140625" style="2" customWidth="1"/>
    <col min="3" max="3" width="17.85546875" style="58" customWidth="1"/>
    <col min="4" max="4" width="18.42578125" style="58" bestFit="1" customWidth="1"/>
    <col min="5" max="5" width="14.5703125" style="58" customWidth="1"/>
    <col min="6" max="6" width="25.85546875" style="58" bestFit="1" customWidth="1"/>
    <col min="7" max="7" width="9.7109375" style="90" bestFit="1" customWidth="1"/>
    <col min="8" max="8" width="12" style="90" bestFit="1" customWidth="1"/>
    <col min="9" max="9" width="9.5703125" style="90" bestFit="1" customWidth="1"/>
    <col min="10" max="10" width="11" style="90" customWidth="1"/>
    <col min="11" max="11" width="8.7109375" style="90" bestFit="1" customWidth="1"/>
    <col min="12" max="12" width="10.28515625" style="90" bestFit="1" customWidth="1"/>
    <col min="13" max="13" width="9.42578125" style="90" bestFit="1" customWidth="1"/>
    <col min="14" max="16" width="6.7109375" style="90" bestFit="1" customWidth="1"/>
    <col min="17" max="17" width="7.85546875" style="90" customWidth="1"/>
    <col min="18" max="18" width="1.7109375" style="2" customWidth="1"/>
    <col min="19" max="16384" width="11.5703125" style="2"/>
  </cols>
  <sheetData>
    <row r="1" spans="1:29" ht="25">
      <c r="A1" s="148"/>
      <c r="B1" s="98" t="str">
        <f>IF(D6&lt;&gt;"",LEFT(D6,4),"") &amp;" テーブル定義書"</f>
        <v>m000 テーブル定義書</v>
      </c>
      <c r="C1" s="100"/>
      <c r="D1" s="100"/>
      <c r="E1" s="100"/>
      <c r="F1" s="100"/>
      <c r="G1" s="99"/>
      <c r="H1" s="99"/>
      <c r="I1" s="99"/>
      <c r="J1" s="99"/>
      <c r="K1" s="99"/>
      <c r="L1" s="99"/>
      <c r="M1" s="99"/>
      <c r="N1" s="99"/>
      <c r="O1" s="99"/>
      <c r="P1" s="99"/>
      <c r="Q1" s="99"/>
      <c r="R1" s="148"/>
      <c r="S1" s="98" t="s">
        <v>393</v>
      </c>
      <c r="T1" s="99"/>
      <c r="U1" s="99"/>
      <c r="V1" s="99"/>
      <c r="W1" s="99"/>
      <c r="X1" s="99"/>
      <c r="Y1" s="99"/>
    </row>
    <row r="2" spans="1:29" ht="24" customHeight="1">
      <c r="B2" s="149" t="s">
        <v>376</v>
      </c>
      <c r="C2" s="67"/>
      <c r="D2" s="67"/>
      <c r="E2" s="67"/>
      <c r="F2" s="67"/>
      <c r="H2" s="89"/>
      <c r="J2" s="97" t="s">
        <v>390</v>
      </c>
      <c r="S2" s="83" t="s">
        <v>451</v>
      </c>
    </row>
    <row r="3" spans="1:29">
      <c r="B3" s="186" t="s">
        <v>167</v>
      </c>
      <c r="C3" s="187"/>
      <c r="D3" s="85" t="s">
        <v>368</v>
      </c>
      <c r="E3" s="3" t="s">
        <v>353</v>
      </c>
      <c r="F3" s="86" t="s">
        <v>352</v>
      </c>
      <c r="G3" s="3" t="s">
        <v>7</v>
      </c>
      <c r="H3" s="94" t="s">
        <v>504</v>
      </c>
      <c r="I3" s="3" t="s">
        <v>149</v>
      </c>
      <c r="J3" s="86" t="s">
        <v>504</v>
      </c>
      <c r="S3" s="3" t="s">
        <v>498</v>
      </c>
      <c r="T3" s="188" t="s">
        <v>536</v>
      </c>
      <c r="U3" s="188"/>
      <c r="V3" s="188"/>
      <c r="W3" s="188"/>
      <c r="X3" s="188"/>
      <c r="Y3" s="188"/>
    </row>
    <row r="4" spans="1:29">
      <c r="B4" s="186" t="s">
        <v>168</v>
      </c>
      <c r="C4" s="187"/>
      <c r="D4" s="85" t="s">
        <v>371</v>
      </c>
      <c r="E4" s="3" t="s">
        <v>497</v>
      </c>
      <c r="F4" s="170" t="s">
        <v>512</v>
      </c>
      <c r="G4" s="3" t="s">
        <v>367</v>
      </c>
      <c r="H4" s="86" t="s">
        <v>169</v>
      </c>
      <c r="I4" s="3" t="s">
        <v>150</v>
      </c>
      <c r="J4" s="86" t="s">
        <v>505</v>
      </c>
      <c r="L4" s="91"/>
      <c r="M4" s="91"/>
      <c r="N4" s="91"/>
      <c r="S4" s="3" t="s">
        <v>499</v>
      </c>
      <c r="T4" s="185" t="s">
        <v>501</v>
      </c>
      <c r="U4" s="185"/>
      <c r="V4" s="185"/>
      <c r="W4" s="185"/>
      <c r="X4" s="185"/>
      <c r="Y4" s="185"/>
    </row>
    <row r="5" spans="1:29" ht="20" customHeight="1">
      <c r="B5" s="186" t="s">
        <v>379</v>
      </c>
      <c r="C5" s="187"/>
      <c r="D5" s="86" t="s">
        <v>534</v>
      </c>
      <c r="E5" s="3" t="s">
        <v>383</v>
      </c>
      <c r="F5" s="87" t="s">
        <v>170</v>
      </c>
      <c r="G5" s="191" t="s">
        <v>351</v>
      </c>
      <c r="H5" s="192"/>
      <c r="I5" s="192"/>
      <c r="J5" s="192"/>
      <c r="L5" s="82"/>
      <c r="M5" s="82"/>
      <c r="N5" s="82"/>
      <c r="S5" s="191" t="s">
        <v>500</v>
      </c>
      <c r="T5" s="189" t="s">
        <v>502</v>
      </c>
      <c r="U5" s="190"/>
      <c r="V5" s="190"/>
      <c r="W5" s="190"/>
      <c r="X5" s="190"/>
      <c r="Y5" s="190"/>
    </row>
    <row r="6" spans="1:29" ht="20" customHeight="1">
      <c r="B6" s="186" t="s">
        <v>380</v>
      </c>
      <c r="C6" s="187"/>
      <c r="D6" s="88" t="s">
        <v>161</v>
      </c>
      <c r="E6" s="3" t="s">
        <v>384</v>
      </c>
      <c r="F6" s="88" t="s">
        <v>158</v>
      </c>
      <c r="G6" s="191"/>
      <c r="H6" s="192"/>
      <c r="I6" s="192"/>
      <c r="J6" s="192"/>
      <c r="L6" s="82"/>
      <c r="M6" s="82"/>
      <c r="N6" s="82"/>
      <c r="S6" s="191"/>
      <c r="T6" s="190"/>
      <c r="U6" s="190"/>
      <c r="V6" s="190"/>
      <c r="W6" s="190"/>
      <c r="X6" s="190"/>
      <c r="Y6" s="190"/>
    </row>
    <row r="7" spans="1:29" ht="20" customHeight="1">
      <c r="B7" s="186" t="s">
        <v>381</v>
      </c>
      <c r="C7" s="187"/>
      <c r="D7" s="88" t="s">
        <v>369</v>
      </c>
      <c r="E7" s="3" t="s">
        <v>385</v>
      </c>
      <c r="F7" s="88" t="s">
        <v>160</v>
      </c>
      <c r="G7" s="191"/>
      <c r="H7" s="192"/>
      <c r="I7" s="192"/>
      <c r="J7" s="192"/>
      <c r="L7" s="82"/>
      <c r="M7" s="82"/>
      <c r="N7" s="82"/>
      <c r="S7" s="191"/>
      <c r="T7" s="190"/>
      <c r="U7" s="190"/>
      <c r="V7" s="190"/>
      <c r="W7" s="190"/>
      <c r="X7" s="190"/>
      <c r="Y7" s="190"/>
    </row>
    <row r="8" spans="1:29" ht="21" customHeight="1">
      <c r="B8" s="186" t="s">
        <v>382</v>
      </c>
      <c r="C8" s="187"/>
      <c r="D8" s="182" t="s">
        <v>370</v>
      </c>
      <c r="E8" s="183"/>
      <c r="F8" s="184"/>
      <c r="G8" s="191"/>
      <c r="H8" s="192"/>
      <c r="I8" s="192"/>
      <c r="J8" s="192"/>
      <c r="L8" s="82"/>
      <c r="M8" s="82"/>
      <c r="N8" s="82"/>
      <c r="S8" s="191"/>
      <c r="T8" s="190"/>
      <c r="U8" s="190"/>
      <c r="V8" s="190"/>
      <c r="W8" s="190"/>
      <c r="X8" s="190"/>
      <c r="Y8" s="190"/>
    </row>
    <row r="9" spans="1:29">
      <c r="J9" s="95"/>
      <c r="L9" s="91"/>
      <c r="M9" s="91"/>
      <c r="N9" s="91"/>
      <c r="S9" s="83" t="s">
        <v>452</v>
      </c>
    </row>
    <row r="10" spans="1:29">
      <c r="B10" s="83" t="s">
        <v>152</v>
      </c>
      <c r="H10" s="96" t="s">
        <v>392</v>
      </c>
      <c r="I10" s="96" t="s">
        <v>391</v>
      </c>
      <c r="J10" s="96" t="s">
        <v>391</v>
      </c>
      <c r="K10" s="96" t="s">
        <v>391</v>
      </c>
      <c r="L10" s="96" t="s">
        <v>391</v>
      </c>
      <c r="M10" s="96" t="s">
        <v>391</v>
      </c>
      <c r="Q10" s="96" t="s">
        <v>395</v>
      </c>
      <c r="S10" s="180" t="s">
        <v>414</v>
      </c>
      <c r="T10" s="181"/>
      <c r="U10" s="181"/>
      <c r="V10" s="181"/>
      <c r="W10" s="181"/>
      <c r="X10" s="181"/>
      <c r="Y10" s="181"/>
      <c r="AC10" s="2" t="s">
        <v>503</v>
      </c>
    </row>
    <row r="11" spans="1:29" s="84" customFormat="1" ht="51">
      <c r="B11" s="92" t="s">
        <v>6</v>
      </c>
      <c r="C11" s="93" t="s">
        <v>386</v>
      </c>
      <c r="D11" s="93" t="s">
        <v>387</v>
      </c>
      <c r="E11" s="93" t="s">
        <v>388</v>
      </c>
      <c r="F11" s="93" t="s">
        <v>389</v>
      </c>
      <c r="G11" s="163" t="s">
        <v>372</v>
      </c>
      <c r="H11" s="164" t="s">
        <v>486</v>
      </c>
      <c r="I11" s="165" t="s">
        <v>487</v>
      </c>
      <c r="J11" s="165" t="s">
        <v>373</v>
      </c>
      <c r="K11" s="165" t="s">
        <v>488</v>
      </c>
      <c r="L11" s="166" t="s">
        <v>484</v>
      </c>
      <c r="M11" s="166" t="s">
        <v>485</v>
      </c>
      <c r="N11" s="167" t="s">
        <v>448</v>
      </c>
      <c r="O11" s="167" t="s">
        <v>449</v>
      </c>
      <c r="P11" s="167" t="s">
        <v>450</v>
      </c>
      <c r="Q11" s="166" t="s">
        <v>394</v>
      </c>
      <c r="S11" s="101" t="s">
        <v>535</v>
      </c>
      <c r="T11" s="102"/>
      <c r="U11" s="102"/>
      <c r="V11" s="102"/>
      <c r="W11" s="102"/>
      <c r="X11" s="102"/>
      <c r="Y11" s="103"/>
    </row>
    <row r="12" spans="1:29">
      <c r="B12" s="66">
        <v>1</v>
      </c>
      <c r="C12" s="65" t="s">
        <v>163</v>
      </c>
      <c r="D12" s="65" t="s">
        <v>162</v>
      </c>
      <c r="E12" s="65" t="s">
        <v>374</v>
      </c>
      <c r="F12" s="65" t="s">
        <v>85</v>
      </c>
      <c r="G12" s="172">
        <v>1</v>
      </c>
      <c r="H12" s="172"/>
      <c r="I12" s="172"/>
      <c r="J12" s="172" t="s">
        <v>496</v>
      </c>
      <c r="K12" s="172"/>
      <c r="L12" s="172" t="s">
        <v>495</v>
      </c>
      <c r="M12" s="172"/>
      <c r="N12" s="172"/>
      <c r="O12" s="172"/>
      <c r="P12" s="172"/>
      <c r="Q12" s="162"/>
      <c r="S12" s="104" t="s">
        <v>516</v>
      </c>
      <c r="T12" s="105"/>
      <c r="U12" s="105"/>
      <c r="V12" s="105"/>
      <c r="W12" s="105"/>
      <c r="X12" s="105"/>
      <c r="Y12" s="106"/>
    </row>
    <row r="13" spans="1:29">
      <c r="B13" s="76">
        <v>2</v>
      </c>
      <c r="C13" s="65" t="s">
        <v>356</v>
      </c>
      <c r="D13" s="65" t="s">
        <v>358</v>
      </c>
      <c r="E13" s="65" t="s">
        <v>375</v>
      </c>
      <c r="F13" s="65" t="s">
        <v>360</v>
      </c>
      <c r="G13" s="172"/>
      <c r="H13" s="172">
        <v>10</v>
      </c>
      <c r="I13" s="172"/>
      <c r="J13" s="172"/>
      <c r="K13" s="172"/>
      <c r="L13" s="172"/>
      <c r="M13" s="172"/>
      <c r="N13" s="172">
        <v>1</v>
      </c>
      <c r="O13" s="172"/>
      <c r="P13" s="172"/>
      <c r="Q13" s="162"/>
      <c r="S13" s="104" t="s">
        <v>517</v>
      </c>
      <c r="T13" s="105"/>
      <c r="U13" s="105"/>
      <c r="V13" s="105"/>
      <c r="W13" s="105"/>
      <c r="X13" s="105"/>
      <c r="Y13" s="106"/>
    </row>
    <row r="14" spans="1:29">
      <c r="B14" s="76">
        <v>3</v>
      </c>
      <c r="C14" s="65" t="s">
        <v>357</v>
      </c>
      <c r="D14" s="65" t="s">
        <v>359</v>
      </c>
      <c r="E14" s="65" t="s">
        <v>41</v>
      </c>
      <c r="F14" s="65" t="s">
        <v>360</v>
      </c>
      <c r="G14" s="172"/>
      <c r="H14" s="172">
        <v>10</v>
      </c>
      <c r="I14" s="172"/>
      <c r="J14" s="172"/>
      <c r="K14" s="172"/>
      <c r="L14" s="172"/>
      <c r="M14" s="172"/>
      <c r="N14" s="172"/>
      <c r="O14" s="172"/>
      <c r="P14" s="172"/>
      <c r="Q14" s="162"/>
      <c r="S14" s="104" t="s">
        <v>518</v>
      </c>
      <c r="T14" s="105"/>
      <c r="U14" s="105"/>
      <c r="V14" s="105"/>
      <c r="W14" s="105"/>
      <c r="X14" s="105"/>
      <c r="Y14" s="106"/>
    </row>
    <row r="15" spans="1:29">
      <c r="B15" s="76">
        <v>4</v>
      </c>
      <c r="C15" s="65" t="s">
        <v>166</v>
      </c>
      <c r="D15" s="65" t="s">
        <v>361</v>
      </c>
      <c r="E15" s="65" t="s">
        <v>16</v>
      </c>
      <c r="F15" s="65" t="s">
        <v>470</v>
      </c>
      <c r="G15" s="172"/>
      <c r="H15" s="172">
        <v>1</v>
      </c>
      <c r="I15" s="172"/>
      <c r="J15" s="172"/>
      <c r="K15" s="172"/>
      <c r="L15" s="172"/>
      <c r="M15" s="172"/>
      <c r="N15" s="172">
        <v>2</v>
      </c>
      <c r="O15" s="172"/>
      <c r="P15" s="172"/>
      <c r="Q15" s="162"/>
      <c r="S15" s="104" t="s">
        <v>519</v>
      </c>
      <c r="T15" s="105"/>
      <c r="U15" s="105"/>
      <c r="V15" s="105"/>
      <c r="W15" s="105"/>
      <c r="X15" s="105"/>
      <c r="Y15" s="106"/>
    </row>
    <row r="16" spans="1:29">
      <c r="B16" s="76">
        <v>5</v>
      </c>
      <c r="C16" s="65" t="s">
        <v>354</v>
      </c>
      <c r="D16" s="65" t="s">
        <v>362</v>
      </c>
      <c r="E16" s="65" t="s">
        <v>151</v>
      </c>
      <c r="F16" s="65" t="s">
        <v>32</v>
      </c>
      <c r="G16" s="172"/>
      <c r="H16" s="172"/>
      <c r="I16" s="172"/>
      <c r="J16" s="172"/>
      <c r="K16" s="172"/>
      <c r="L16" s="172"/>
      <c r="M16" s="172"/>
      <c r="N16" s="172"/>
      <c r="O16" s="172"/>
      <c r="P16" s="172"/>
      <c r="Q16" s="162"/>
      <c r="S16" s="104" t="s">
        <v>520</v>
      </c>
      <c r="T16" s="105"/>
      <c r="U16" s="105"/>
      <c r="V16" s="105"/>
      <c r="W16" s="105"/>
      <c r="X16" s="105"/>
      <c r="Y16" s="106"/>
    </row>
    <row r="17" spans="2:25">
      <c r="B17" s="76">
        <v>6</v>
      </c>
      <c r="C17" s="65" t="s">
        <v>164</v>
      </c>
      <c r="D17" s="65" t="s">
        <v>363</v>
      </c>
      <c r="E17" s="65" t="s">
        <v>41</v>
      </c>
      <c r="F17" s="65" t="s">
        <v>360</v>
      </c>
      <c r="G17" s="172"/>
      <c r="H17" s="172">
        <v>30</v>
      </c>
      <c r="I17" s="172"/>
      <c r="J17" s="172"/>
      <c r="K17" s="172"/>
      <c r="L17" s="172"/>
      <c r="M17" s="172"/>
      <c r="N17" s="172"/>
      <c r="O17" s="172"/>
      <c r="P17" s="172"/>
      <c r="Q17" s="162"/>
      <c r="S17" s="104" t="s">
        <v>521</v>
      </c>
      <c r="T17" s="105"/>
      <c r="U17" s="105"/>
      <c r="V17" s="105"/>
      <c r="W17" s="105"/>
      <c r="X17" s="105"/>
      <c r="Y17" s="106"/>
    </row>
    <row r="18" spans="2:25">
      <c r="B18" s="76">
        <v>7</v>
      </c>
      <c r="C18" s="65" t="s">
        <v>355</v>
      </c>
      <c r="D18" s="65" t="s">
        <v>364</v>
      </c>
      <c r="E18" s="65" t="s">
        <v>151</v>
      </c>
      <c r="F18" s="65" t="s">
        <v>32</v>
      </c>
      <c r="G18" s="172"/>
      <c r="H18" s="172"/>
      <c r="I18" s="172"/>
      <c r="J18" s="172"/>
      <c r="K18" s="172"/>
      <c r="L18" s="172"/>
      <c r="M18" s="172"/>
      <c r="N18" s="172"/>
      <c r="O18" s="172"/>
      <c r="P18" s="172"/>
      <c r="Q18" s="162"/>
      <c r="S18" s="104" t="s">
        <v>522</v>
      </c>
      <c r="T18" s="105"/>
      <c r="U18" s="105"/>
      <c r="V18" s="105"/>
      <c r="W18" s="105"/>
      <c r="X18" s="105"/>
      <c r="Y18" s="106"/>
    </row>
    <row r="19" spans="2:25">
      <c r="B19" s="76">
        <v>8</v>
      </c>
      <c r="C19" s="65" t="s">
        <v>165</v>
      </c>
      <c r="D19" s="65" t="s">
        <v>365</v>
      </c>
      <c r="E19" s="65" t="s">
        <v>41</v>
      </c>
      <c r="F19" s="65" t="s">
        <v>360</v>
      </c>
      <c r="G19" s="172"/>
      <c r="H19" s="172">
        <v>30</v>
      </c>
      <c r="I19" s="172"/>
      <c r="J19" s="172"/>
      <c r="K19" s="172"/>
      <c r="L19" s="172"/>
      <c r="M19" s="172"/>
      <c r="N19" s="172"/>
      <c r="O19" s="172"/>
      <c r="P19" s="172"/>
      <c r="Q19" s="162"/>
      <c r="S19" s="104" t="s">
        <v>523</v>
      </c>
      <c r="T19" s="105"/>
      <c r="U19" s="105"/>
      <c r="V19" s="105"/>
      <c r="W19" s="105"/>
      <c r="X19" s="105"/>
      <c r="Y19" s="106"/>
    </row>
    <row r="20" spans="2:25">
      <c r="B20" s="76">
        <v>9</v>
      </c>
      <c r="C20" s="65" t="s">
        <v>97</v>
      </c>
      <c r="D20" s="65" t="s">
        <v>366</v>
      </c>
      <c r="E20" s="65" t="s">
        <v>41</v>
      </c>
      <c r="F20" s="65" t="s">
        <v>360</v>
      </c>
      <c r="G20" s="172"/>
      <c r="H20" s="172">
        <v>50</v>
      </c>
      <c r="I20" s="172"/>
      <c r="J20" s="172"/>
      <c r="K20" s="172"/>
      <c r="L20" s="172"/>
      <c r="M20" s="172"/>
      <c r="N20" s="172"/>
      <c r="O20" s="172"/>
      <c r="P20" s="172"/>
      <c r="Q20" s="162"/>
      <c r="S20" s="104" t="s">
        <v>524</v>
      </c>
      <c r="T20" s="105"/>
      <c r="U20" s="105"/>
      <c r="V20" s="105"/>
      <c r="W20" s="105"/>
      <c r="X20" s="105"/>
      <c r="Y20" s="106"/>
    </row>
    <row r="21" spans="2:25">
      <c r="B21" s="80">
        <v>10</v>
      </c>
      <c r="C21" s="65" t="s">
        <v>489</v>
      </c>
      <c r="D21" s="65" t="s">
        <v>492</v>
      </c>
      <c r="E21" s="65" t="s">
        <v>16</v>
      </c>
      <c r="F21" s="65" t="s">
        <v>483</v>
      </c>
      <c r="G21" s="172"/>
      <c r="H21" s="172">
        <v>10</v>
      </c>
      <c r="I21" s="172">
        <v>2</v>
      </c>
      <c r="J21" s="172"/>
      <c r="K21" s="172"/>
      <c r="L21" s="172"/>
      <c r="M21" s="172"/>
      <c r="N21" s="172"/>
      <c r="O21" s="172"/>
      <c r="P21" s="172"/>
      <c r="Q21" s="162"/>
      <c r="S21" s="104" t="s">
        <v>525</v>
      </c>
      <c r="T21" s="105"/>
      <c r="U21" s="105"/>
      <c r="V21" s="105"/>
      <c r="W21" s="105"/>
      <c r="X21" s="105"/>
      <c r="Y21" s="106"/>
    </row>
    <row r="22" spans="2:25">
      <c r="B22" s="80">
        <v>11</v>
      </c>
      <c r="C22" s="65" t="s">
        <v>490</v>
      </c>
      <c r="D22" s="65" t="s">
        <v>491</v>
      </c>
      <c r="E22" s="65" t="s">
        <v>16</v>
      </c>
      <c r="F22" s="65" t="s">
        <v>481</v>
      </c>
      <c r="G22" s="172"/>
      <c r="H22" s="172">
        <v>3</v>
      </c>
      <c r="I22" s="172">
        <v>3</v>
      </c>
      <c r="J22" s="172"/>
      <c r="K22" s="172"/>
      <c r="L22" s="172"/>
      <c r="M22" s="172"/>
      <c r="N22" s="172"/>
      <c r="O22" s="172"/>
      <c r="P22" s="172"/>
      <c r="Q22" s="162"/>
      <c r="S22" s="104" t="s">
        <v>533</v>
      </c>
      <c r="T22" s="105"/>
      <c r="U22" s="105"/>
      <c r="V22" s="105"/>
      <c r="W22" s="105"/>
      <c r="X22" s="105"/>
      <c r="Y22" s="106"/>
    </row>
    <row r="23" spans="2:25">
      <c r="B23" s="80"/>
      <c r="C23" s="65"/>
      <c r="D23" s="65"/>
      <c r="E23" s="65"/>
      <c r="F23" s="65"/>
      <c r="G23" s="172"/>
      <c r="H23" s="172"/>
      <c r="I23" s="172"/>
      <c r="J23" s="172"/>
      <c r="K23" s="172"/>
      <c r="L23" s="172"/>
      <c r="M23" s="172"/>
      <c r="N23" s="172"/>
      <c r="O23" s="172"/>
      <c r="P23" s="172"/>
      <c r="Q23" s="162"/>
      <c r="S23" s="104" t="s">
        <v>526</v>
      </c>
      <c r="T23" s="105"/>
      <c r="U23" s="105"/>
      <c r="V23" s="105"/>
      <c r="W23" s="105"/>
      <c r="X23" s="105"/>
      <c r="Y23" s="106"/>
    </row>
    <row r="24" spans="2:25">
      <c r="B24" s="80"/>
      <c r="C24" s="65"/>
      <c r="D24" s="65"/>
      <c r="E24" s="65"/>
      <c r="F24" s="65"/>
      <c r="G24" s="172"/>
      <c r="H24" s="172"/>
      <c r="I24" s="172"/>
      <c r="J24" s="172"/>
      <c r="K24" s="172"/>
      <c r="L24" s="172"/>
      <c r="M24" s="172"/>
      <c r="N24" s="172"/>
      <c r="O24" s="172"/>
      <c r="P24" s="172"/>
      <c r="Q24" s="162"/>
      <c r="S24" s="104" t="s">
        <v>527</v>
      </c>
      <c r="T24" s="105"/>
      <c r="U24" s="105"/>
      <c r="V24" s="105"/>
      <c r="W24" s="105"/>
      <c r="X24" s="105"/>
      <c r="Y24" s="106"/>
    </row>
    <row r="25" spans="2:25">
      <c r="B25" s="80"/>
      <c r="C25" s="65"/>
      <c r="D25" s="65"/>
      <c r="E25" s="65"/>
      <c r="F25" s="65"/>
      <c r="G25" s="172"/>
      <c r="H25" s="172"/>
      <c r="I25" s="172"/>
      <c r="J25" s="172"/>
      <c r="K25" s="172"/>
      <c r="L25" s="172"/>
      <c r="M25" s="172"/>
      <c r="N25" s="172"/>
      <c r="O25" s="172"/>
      <c r="P25" s="172"/>
      <c r="Q25" s="162"/>
      <c r="S25" s="104" t="s">
        <v>513</v>
      </c>
      <c r="T25" s="105"/>
      <c r="U25" s="105"/>
      <c r="V25" s="105"/>
      <c r="W25" s="105"/>
      <c r="X25" s="105"/>
      <c r="Y25" s="106"/>
    </row>
    <row r="26" spans="2:25">
      <c r="B26" s="80"/>
      <c r="C26" s="65"/>
      <c r="D26" s="65"/>
      <c r="E26" s="65"/>
      <c r="F26" s="65"/>
      <c r="G26" s="172"/>
      <c r="H26" s="172"/>
      <c r="I26" s="172"/>
      <c r="J26" s="172"/>
      <c r="K26" s="172"/>
      <c r="L26" s="172"/>
      <c r="M26" s="172"/>
      <c r="N26" s="172"/>
      <c r="O26" s="172"/>
      <c r="P26" s="172"/>
      <c r="Q26" s="162"/>
      <c r="S26" s="104" t="s">
        <v>514</v>
      </c>
      <c r="T26" s="105"/>
      <c r="U26" s="105"/>
      <c r="V26" s="105"/>
      <c r="W26" s="105"/>
      <c r="X26" s="105"/>
      <c r="Y26" s="106"/>
    </row>
    <row r="27" spans="2:25">
      <c r="B27" s="80"/>
      <c r="C27" s="65"/>
      <c r="D27" s="65"/>
      <c r="E27" s="65"/>
      <c r="F27" s="65"/>
      <c r="G27" s="172"/>
      <c r="H27" s="172"/>
      <c r="I27" s="172"/>
      <c r="J27" s="172"/>
      <c r="K27" s="172"/>
      <c r="L27" s="172"/>
      <c r="M27" s="172"/>
      <c r="N27" s="172"/>
      <c r="O27" s="172"/>
      <c r="P27" s="172"/>
      <c r="Q27" s="162"/>
      <c r="S27" s="104" t="s">
        <v>528</v>
      </c>
      <c r="T27" s="105"/>
      <c r="U27" s="105"/>
      <c r="V27" s="105"/>
      <c r="W27" s="105"/>
      <c r="X27" s="105"/>
      <c r="Y27" s="106"/>
    </row>
    <row r="28" spans="2:25">
      <c r="B28" s="80"/>
      <c r="C28" s="65"/>
      <c r="D28" s="65"/>
      <c r="E28" s="65"/>
      <c r="F28" s="65"/>
      <c r="G28" s="172"/>
      <c r="H28" s="172"/>
      <c r="I28" s="172"/>
      <c r="J28" s="172"/>
      <c r="K28" s="172"/>
      <c r="L28" s="172"/>
      <c r="M28" s="172"/>
      <c r="N28" s="172"/>
      <c r="O28" s="172"/>
      <c r="P28" s="172"/>
      <c r="Q28" s="162"/>
      <c r="S28" s="104" t="s">
        <v>529</v>
      </c>
      <c r="T28" s="105"/>
      <c r="U28" s="105"/>
      <c r="V28" s="105"/>
      <c r="W28" s="105"/>
      <c r="X28" s="105"/>
      <c r="Y28" s="106"/>
    </row>
    <row r="29" spans="2:25">
      <c r="B29" s="80"/>
      <c r="C29" s="65"/>
      <c r="D29" s="65"/>
      <c r="E29" s="65"/>
      <c r="F29" s="65"/>
      <c r="G29" s="172"/>
      <c r="H29" s="172"/>
      <c r="I29" s="172"/>
      <c r="J29" s="172"/>
      <c r="K29" s="172"/>
      <c r="L29" s="172"/>
      <c r="M29" s="172"/>
      <c r="N29" s="172"/>
      <c r="O29" s="172"/>
      <c r="P29" s="172"/>
      <c r="Q29" s="162"/>
      <c r="S29" s="104" t="s">
        <v>515</v>
      </c>
      <c r="T29" s="105"/>
      <c r="U29" s="105"/>
      <c r="V29" s="105"/>
      <c r="W29" s="105"/>
      <c r="X29" s="105"/>
      <c r="Y29" s="106"/>
    </row>
    <row r="30" spans="2:25">
      <c r="B30" s="80"/>
      <c r="C30" s="65"/>
      <c r="D30" s="65"/>
      <c r="E30" s="65"/>
      <c r="F30" s="65"/>
      <c r="G30" s="172"/>
      <c r="H30" s="172"/>
      <c r="I30" s="172"/>
      <c r="J30" s="172"/>
      <c r="K30" s="172"/>
      <c r="L30" s="172"/>
      <c r="M30" s="172"/>
      <c r="N30" s="172"/>
      <c r="O30" s="172"/>
      <c r="P30" s="172"/>
      <c r="Q30" s="162"/>
      <c r="S30" s="104"/>
      <c r="T30" s="105"/>
      <c r="U30" s="105"/>
      <c r="V30" s="105"/>
      <c r="W30" s="105"/>
      <c r="X30" s="105"/>
      <c r="Y30" s="106"/>
    </row>
    <row r="31" spans="2:25">
      <c r="B31" s="80"/>
      <c r="C31" s="65"/>
      <c r="D31" s="65"/>
      <c r="E31" s="65"/>
      <c r="F31" s="65"/>
      <c r="G31" s="172"/>
      <c r="H31" s="172"/>
      <c r="I31" s="172"/>
      <c r="J31" s="172"/>
      <c r="K31" s="172"/>
      <c r="L31" s="172"/>
      <c r="M31" s="172"/>
      <c r="N31" s="172"/>
      <c r="O31" s="172"/>
      <c r="P31" s="172"/>
      <c r="Q31" s="162"/>
      <c r="S31" s="104"/>
      <c r="T31" s="105"/>
      <c r="U31" s="105"/>
      <c r="V31" s="105"/>
      <c r="W31" s="105"/>
      <c r="X31" s="105"/>
      <c r="Y31" s="106"/>
    </row>
    <row r="32" spans="2:25">
      <c r="B32" s="80"/>
      <c r="C32" s="65"/>
      <c r="D32" s="65"/>
      <c r="E32" s="65"/>
      <c r="F32" s="65"/>
      <c r="G32" s="172"/>
      <c r="H32" s="172"/>
      <c r="I32" s="172"/>
      <c r="J32" s="172"/>
      <c r="K32" s="172"/>
      <c r="L32" s="172"/>
      <c r="M32" s="172"/>
      <c r="N32" s="172"/>
      <c r="O32" s="172"/>
      <c r="P32" s="172"/>
      <c r="Q32" s="162"/>
      <c r="S32" s="104"/>
      <c r="T32" s="105"/>
      <c r="U32" s="105"/>
      <c r="V32" s="105"/>
      <c r="W32" s="105"/>
      <c r="X32" s="105"/>
      <c r="Y32" s="106"/>
    </row>
    <row r="33" spans="2:25">
      <c r="B33" s="80"/>
      <c r="C33" s="65"/>
      <c r="D33" s="65"/>
      <c r="E33" s="65"/>
      <c r="F33" s="65"/>
      <c r="G33" s="172"/>
      <c r="H33" s="172"/>
      <c r="I33" s="172"/>
      <c r="J33" s="172"/>
      <c r="K33" s="172"/>
      <c r="L33" s="172"/>
      <c r="M33" s="172"/>
      <c r="N33" s="172"/>
      <c r="O33" s="172"/>
      <c r="P33" s="172"/>
      <c r="Q33" s="162"/>
      <c r="S33" s="104"/>
      <c r="T33" s="105"/>
      <c r="U33" s="105"/>
      <c r="V33" s="105"/>
      <c r="W33" s="105"/>
      <c r="X33" s="105"/>
      <c r="Y33" s="106"/>
    </row>
    <row r="34" spans="2:25">
      <c r="B34" s="80"/>
      <c r="C34" s="65"/>
      <c r="D34" s="65"/>
      <c r="E34" s="65"/>
      <c r="F34" s="65"/>
      <c r="G34" s="172"/>
      <c r="H34" s="172"/>
      <c r="I34" s="172"/>
      <c r="J34" s="172"/>
      <c r="K34" s="172"/>
      <c r="L34" s="172"/>
      <c r="M34" s="172"/>
      <c r="N34" s="172"/>
      <c r="O34" s="172"/>
      <c r="P34" s="172"/>
      <c r="Q34" s="162"/>
      <c r="S34" s="104"/>
      <c r="T34" s="105"/>
      <c r="U34" s="105"/>
      <c r="V34" s="105"/>
      <c r="W34" s="105"/>
      <c r="X34" s="105"/>
      <c r="Y34" s="106"/>
    </row>
    <row r="35" spans="2:25">
      <c r="B35" s="80"/>
      <c r="C35" s="65"/>
      <c r="D35" s="65"/>
      <c r="E35" s="65"/>
      <c r="F35" s="65"/>
      <c r="G35" s="172"/>
      <c r="H35" s="172"/>
      <c r="I35" s="172"/>
      <c r="J35" s="172"/>
      <c r="K35" s="172"/>
      <c r="L35" s="172"/>
      <c r="M35" s="172"/>
      <c r="N35" s="172"/>
      <c r="O35" s="172"/>
      <c r="P35" s="172"/>
      <c r="Q35" s="162"/>
      <c r="S35" s="104"/>
      <c r="T35" s="105"/>
      <c r="U35" s="105"/>
      <c r="V35" s="105"/>
      <c r="W35" s="105"/>
      <c r="X35" s="105"/>
      <c r="Y35" s="106"/>
    </row>
    <row r="36" spans="2:25">
      <c r="B36" s="80"/>
      <c r="C36" s="65"/>
      <c r="D36" s="65"/>
      <c r="E36" s="65"/>
      <c r="F36" s="65"/>
      <c r="G36" s="172"/>
      <c r="H36" s="172"/>
      <c r="I36" s="172"/>
      <c r="J36" s="172"/>
      <c r="K36" s="172"/>
      <c r="L36" s="172"/>
      <c r="M36" s="172"/>
      <c r="N36" s="172"/>
      <c r="O36" s="172"/>
      <c r="P36" s="172"/>
      <c r="Q36" s="162"/>
      <c r="S36" s="104"/>
      <c r="T36" s="105"/>
      <c r="U36" s="105"/>
      <c r="V36" s="105"/>
      <c r="W36" s="105"/>
      <c r="X36" s="105"/>
      <c r="Y36" s="106"/>
    </row>
    <row r="37" spans="2:25">
      <c r="B37" s="80"/>
      <c r="C37" s="65"/>
      <c r="D37" s="65"/>
      <c r="E37" s="65"/>
      <c r="F37" s="65"/>
      <c r="G37" s="172"/>
      <c r="H37" s="172"/>
      <c r="I37" s="172"/>
      <c r="J37" s="172"/>
      <c r="K37" s="172"/>
      <c r="L37" s="172"/>
      <c r="M37" s="172"/>
      <c r="N37" s="172"/>
      <c r="O37" s="172"/>
      <c r="P37" s="172"/>
      <c r="Q37" s="162"/>
      <c r="S37" s="104"/>
      <c r="T37" s="105"/>
      <c r="U37" s="105"/>
      <c r="V37" s="105"/>
      <c r="W37" s="105"/>
      <c r="X37" s="105"/>
      <c r="Y37" s="106"/>
    </row>
    <row r="38" spans="2:25">
      <c r="B38" s="80"/>
      <c r="C38" s="65"/>
      <c r="D38" s="65"/>
      <c r="E38" s="65"/>
      <c r="F38" s="65"/>
      <c r="G38" s="172"/>
      <c r="H38" s="172"/>
      <c r="I38" s="172"/>
      <c r="J38" s="172"/>
      <c r="K38" s="172"/>
      <c r="L38" s="172"/>
      <c r="M38" s="172"/>
      <c r="N38" s="172"/>
      <c r="O38" s="172"/>
      <c r="P38" s="172"/>
      <c r="Q38" s="162"/>
      <c r="S38" s="104"/>
      <c r="T38" s="105"/>
      <c r="U38" s="105"/>
      <c r="V38" s="105"/>
      <c r="W38" s="105"/>
      <c r="X38" s="105"/>
      <c r="Y38" s="106"/>
    </row>
    <row r="39" spans="2:25">
      <c r="B39" s="80"/>
      <c r="C39" s="65"/>
      <c r="D39" s="65"/>
      <c r="E39" s="65"/>
      <c r="F39" s="65"/>
      <c r="G39" s="172"/>
      <c r="H39" s="172"/>
      <c r="I39" s="172"/>
      <c r="J39" s="172"/>
      <c r="K39" s="172"/>
      <c r="L39" s="172"/>
      <c r="M39" s="172"/>
      <c r="N39" s="172"/>
      <c r="O39" s="172"/>
      <c r="P39" s="172"/>
      <c r="Q39" s="162"/>
      <c r="S39" s="104"/>
      <c r="T39" s="105"/>
      <c r="U39" s="105"/>
      <c r="V39" s="105"/>
      <c r="W39" s="105"/>
      <c r="X39" s="105"/>
      <c r="Y39" s="106"/>
    </row>
    <row r="40" spans="2:25">
      <c r="B40" s="80"/>
      <c r="C40" s="65"/>
      <c r="D40" s="65"/>
      <c r="E40" s="65"/>
      <c r="F40" s="65"/>
      <c r="G40" s="172"/>
      <c r="H40" s="172"/>
      <c r="I40" s="172"/>
      <c r="J40" s="172"/>
      <c r="K40" s="172"/>
      <c r="L40" s="172"/>
      <c r="M40" s="172"/>
      <c r="N40" s="172"/>
      <c r="O40" s="172"/>
      <c r="P40" s="172"/>
      <c r="Q40" s="162"/>
      <c r="S40" s="104"/>
      <c r="T40" s="105"/>
      <c r="U40" s="105"/>
      <c r="V40" s="105"/>
      <c r="W40" s="105"/>
      <c r="X40" s="105"/>
      <c r="Y40" s="106"/>
    </row>
    <row r="41" spans="2:25">
      <c r="B41" s="80"/>
      <c r="C41" s="65"/>
      <c r="D41" s="65"/>
      <c r="E41" s="65"/>
      <c r="F41" s="65"/>
      <c r="G41" s="172"/>
      <c r="H41" s="172"/>
      <c r="I41" s="172"/>
      <c r="J41" s="172"/>
      <c r="K41" s="172"/>
      <c r="L41" s="172"/>
      <c r="M41" s="172"/>
      <c r="N41" s="172"/>
      <c r="O41" s="172"/>
      <c r="P41" s="172"/>
      <c r="Q41" s="162"/>
      <c r="S41" s="104"/>
      <c r="T41" s="105"/>
      <c r="U41" s="105"/>
      <c r="V41" s="105"/>
      <c r="W41" s="105"/>
      <c r="X41" s="105"/>
      <c r="Y41" s="106"/>
    </row>
    <row r="42" spans="2:25">
      <c r="B42" s="80"/>
      <c r="C42" s="65"/>
      <c r="D42" s="65"/>
      <c r="E42" s="65"/>
      <c r="F42" s="65"/>
      <c r="G42" s="172"/>
      <c r="H42" s="172"/>
      <c r="I42" s="172"/>
      <c r="J42" s="172"/>
      <c r="K42" s="172"/>
      <c r="L42" s="172"/>
      <c r="M42" s="172"/>
      <c r="N42" s="172"/>
      <c r="O42" s="172"/>
      <c r="P42" s="172"/>
      <c r="Q42" s="162"/>
      <c r="S42" s="104"/>
      <c r="T42" s="105"/>
      <c r="U42" s="105"/>
      <c r="V42" s="105"/>
      <c r="W42" s="105"/>
      <c r="X42" s="105"/>
      <c r="Y42" s="106"/>
    </row>
    <row r="43" spans="2:25">
      <c r="B43" s="80"/>
      <c r="C43" s="65"/>
      <c r="D43" s="65"/>
      <c r="E43" s="65"/>
      <c r="F43" s="65"/>
      <c r="G43" s="172"/>
      <c r="H43" s="172"/>
      <c r="I43" s="172"/>
      <c r="J43" s="172"/>
      <c r="K43" s="172"/>
      <c r="L43" s="172"/>
      <c r="M43" s="172"/>
      <c r="N43" s="172"/>
      <c r="O43" s="172"/>
      <c r="P43" s="172"/>
      <c r="Q43" s="162"/>
      <c r="S43" s="104"/>
      <c r="T43" s="105"/>
      <c r="U43" s="105"/>
      <c r="V43" s="105"/>
      <c r="W43" s="105"/>
      <c r="X43" s="105"/>
      <c r="Y43" s="106"/>
    </row>
    <row r="44" spans="2:25">
      <c r="B44" s="80"/>
      <c r="C44" s="65"/>
      <c r="D44" s="65"/>
      <c r="E44" s="65"/>
      <c r="F44" s="65"/>
      <c r="G44" s="172"/>
      <c r="H44" s="172"/>
      <c r="I44" s="172"/>
      <c r="J44" s="172"/>
      <c r="K44" s="172"/>
      <c r="L44" s="172"/>
      <c r="M44" s="172"/>
      <c r="N44" s="172"/>
      <c r="O44" s="172"/>
      <c r="P44" s="172"/>
      <c r="Q44" s="162"/>
      <c r="S44" s="104"/>
      <c r="T44" s="105"/>
      <c r="U44" s="105"/>
      <c r="V44" s="105"/>
      <c r="W44" s="105"/>
      <c r="X44" s="105"/>
      <c r="Y44" s="106"/>
    </row>
    <row r="45" spans="2:25">
      <c r="B45" s="80"/>
      <c r="C45" s="65"/>
      <c r="D45" s="65"/>
      <c r="E45" s="65"/>
      <c r="F45" s="65"/>
      <c r="G45" s="172"/>
      <c r="H45" s="172"/>
      <c r="I45" s="172"/>
      <c r="J45" s="172"/>
      <c r="K45" s="172"/>
      <c r="L45" s="172"/>
      <c r="M45" s="172"/>
      <c r="N45" s="172"/>
      <c r="O45" s="172"/>
      <c r="P45" s="172"/>
      <c r="Q45" s="162"/>
      <c r="S45" s="104"/>
      <c r="T45" s="105"/>
      <c r="U45" s="105"/>
      <c r="V45" s="105"/>
      <c r="W45" s="105"/>
      <c r="X45" s="105"/>
      <c r="Y45" s="106"/>
    </row>
    <row r="46" spans="2:25">
      <c r="B46" s="80"/>
      <c r="C46" s="65"/>
      <c r="D46" s="65"/>
      <c r="E46" s="65"/>
      <c r="F46" s="65"/>
      <c r="G46" s="172"/>
      <c r="H46" s="172"/>
      <c r="I46" s="172"/>
      <c r="J46" s="172"/>
      <c r="K46" s="172"/>
      <c r="L46" s="172"/>
      <c r="M46" s="172"/>
      <c r="N46" s="172"/>
      <c r="O46" s="172"/>
      <c r="P46" s="172"/>
      <c r="Q46" s="162"/>
      <c r="S46" s="104"/>
      <c r="T46" s="105"/>
      <c r="U46" s="105"/>
      <c r="V46" s="105"/>
      <c r="W46" s="105"/>
      <c r="X46" s="105"/>
      <c r="Y46" s="106"/>
    </row>
    <row r="47" spans="2:25">
      <c r="B47" s="80"/>
      <c r="C47" s="65"/>
      <c r="D47" s="65"/>
      <c r="E47" s="65"/>
      <c r="F47" s="65"/>
      <c r="G47" s="172"/>
      <c r="H47" s="172"/>
      <c r="I47" s="172"/>
      <c r="J47" s="172"/>
      <c r="K47" s="172"/>
      <c r="L47" s="172"/>
      <c r="M47" s="172"/>
      <c r="N47" s="172"/>
      <c r="O47" s="172"/>
      <c r="P47" s="172"/>
      <c r="Q47" s="162"/>
      <c r="S47" s="104"/>
      <c r="T47" s="105"/>
      <c r="U47" s="105"/>
      <c r="V47" s="105"/>
      <c r="W47" s="105"/>
      <c r="X47" s="105"/>
      <c r="Y47" s="106"/>
    </row>
    <row r="48" spans="2:25">
      <c r="B48" s="80"/>
      <c r="C48" s="65"/>
      <c r="D48" s="65"/>
      <c r="E48" s="65"/>
      <c r="F48" s="65"/>
      <c r="G48" s="172"/>
      <c r="H48" s="172"/>
      <c r="I48" s="172"/>
      <c r="J48" s="172"/>
      <c r="K48" s="172"/>
      <c r="L48" s="172"/>
      <c r="M48" s="172"/>
      <c r="N48" s="172"/>
      <c r="O48" s="172"/>
      <c r="P48" s="172"/>
      <c r="Q48" s="162"/>
      <c r="S48" s="104"/>
      <c r="T48" s="105"/>
      <c r="U48" s="105"/>
      <c r="V48" s="105"/>
      <c r="W48" s="105"/>
      <c r="X48" s="105"/>
      <c r="Y48" s="106"/>
    </row>
    <row r="49" spans="2:25">
      <c r="B49" s="80"/>
      <c r="C49" s="65"/>
      <c r="D49" s="65"/>
      <c r="E49" s="65"/>
      <c r="F49" s="65"/>
      <c r="G49" s="172"/>
      <c r="H49" s="172"/>
      <c r="I49" s="172"/>
      <c r="J49" s="172"/>
      <c r="K49" s="172"/>
      <c r="L49" s="172"/>
      <c r="M49" s="172"/>
      <c r="N49" s="172"/>
      <c r="O49" s="172"/>
      <c r="P49" s="172"/>
      <c r="Q49" s="162"/>
      <c r="S49" s="104"/>
      <c r="T49" s="105"/>
      <c r="U49" s="105"/>
      <c r="V49" s="105"/>
      <c r="W49" s="105"/>
      <c r="X49" s="105"/>
      <c r="Y49" s="106"/>
    </row>
    <row r="50" spans="2:25">
      <c r="B50" s="80"/>
      <c r="C50" s="65"/>
      <c r="D50" s="65"/>
      <c r="E50" s="65"/>
      <c r="F50" s="65"/>
      <c r="G50" s="172"/>
      <c r="H50" s="172"/>
      <c r="I50" s="172"/>
      <c r="J50" s="172"/>
      <c r="K50" s="172"/>
      <c r="L50" s="172"/>
      <c r="M50" s="172"/>
      <c r="N50" s="172"/>
      <c r="O50" s="172"/>
      <c r="P50" s="172"/>
      <c r="Q50" s="162"/>
      <c r="S50" s="104"/>
      <c r="T50" s="105"/>
      <c r="U50" s="105"/>
      <c r="V50" s="105"/>
      <c r="W50" s="105"/>
      <c r="X50" s="105"/>
      <c r="Y50" s="106"/>
    </row>
    <row r="51" spans="2:25">
      <c r="B51" s="80"/>
      <c r="C51" s="65"/>
      <c r="D51" s="65"/>
      <c r="E51" s="65"/>
      <c r="F51" s="65"/>
      <c r="G51" s="172"/>
      <c r="H51" s="172"/>
      <c r="I51" s="172"/>
      <c r="J51" s="172"/>
      <c r="K51" s="172"/>
      <c r="L51" s="172"/>
      <c r="M51" s="172"/>
      <c r="N51" s="172"/>
      <c r="O51" s="172"/>
      <c r="P51" s="172"/>
      <c r="Q51" s="162"/>
      <c r="S51" s="104"/>
      <c r="T51" s="105"/>
      <c r="U51" s="105"/>
      <c r="V51" s="105"/>
      <c r="W51" s="105"/>
      <c r="X51" s="105"/>
      <c r="Y51" s="106"/>
    </row>
    <row r="52" spans="2:25">
      <c r="B52" s="80"/>
      <c r="C52" s="65"/>
      <c r="D52" s="65"/>
      <c r="E52" s="65"/>
      <c r="F52" s="65"/>
      <c r="G52" s="172"/>
      <c r="H52" s="172"/>
      <c r="I52" s="172"/>
      <c r="J52" s="172"/>
      <c r="K52" s="172"/>
      <c r="L52" s="172"/>
      <c r="M52" s="172"/>
      <c r="N52" s="172"/>
      <c r="O52" s="172"/>
      <c r="P52" s="172"/>
      <c r="Q52" s="162"/>
      <c r="S52" s="104"/>
      <c r="T52" s="105"/>
      <c r="U52" s="105"/>
      <c r="V52" s="105"/>
      <c r="W52" s="105"/>
      <c r="X52" s="105"/>
      <c r="Y52" s="106"/>
    </row>
    <row r="53" spans="2:25">
      <c r="B53" s="80"/>
      <c r="C53" s="65"/>
      <c r="D53" s="65"/>
      <c r="E53" s="65"/>
      <c r="F53" s="65"/>
      <c r="G53" s="172"/>
      <c r="H53" s="172"/>
      <c r="I53" s="172"/>
      <c r="J53" s="172"/>
      <c r="K53" s="172"/>
      <c r="L53" s="172"/>
      <c r="M53" s="172"/>
      <c r="N53" s="172"/>
      <c r="O53" s="172"/>
      <c r="P53" s="172"/>
      <c r="Q53" s="162"/>
      <c r="S53" s="104"/>
      <c r="T53" s="105"/>
      <c r="U53" s="105"/>
      <c r="V53" s="105"/>
      <c r="W53" s="105"/>
      <c r="X53" s="105"/>
      <c r="Y53" s="106"/>
    </row>
    <row r="54" spans="2:25">
      <c r="B54" s="80"/>
      <c r="C54" s="65"/>
      <c r="D54" s="65"/>
      <c r="E54" s="65"/>
      <c r="F54" s="65"/>
      <c r="G54" s="172"/>
      <c r="H54" s="172"/>
      <c r="I54" s="172"/>
      <c r="J54" s="172"/>
      <c r="K54" s="172"/>
      <c r="L54" s="172"/>
      <c r="M54" s="172"/>
      <c r="N54" s="172"/>
      <c r="O54" s="172"/>
      <c r="P54" s="172"/>
      <c r="Q54" s="162"/>
      <c r="S54" s="104"/>
      <c r="T54" s="105"/>
      <c r="U54" s="105"/>
      <c r="V54" s="105"/>
      <c r="W54" s="105"/>
      <c r="X54" s="105"/>
      <c r="Y54" s="106"/>
    </row>
    <row r="55" spans="2:25">
      <c r="B55" s="80"/>
      <c r="C55" s="65"/>
      <c r="D55" s="65"/>
      <c r="E55" s="65"/>
      <c r="F55" s="65"/>
      <c r="G55" s="172"/>
      <c r="H55" s="172"/>
      <c r="I55" s="172"/>
      <c r="J55" s="172"/>
      <c r="K55" s="172"/>
      <c r="L55" s="172"/>
      <c r="M55" s="172"/>
      <c r="N55" s="172"/>
      <c r="O55" s="172"/>
      <c r="P55" s="172"/>
      <c r="Q55" s="162"/>
      <c r="S55" s="104"/>
      <c r="T55" s="105"/>
      <c r="U55" s="105"/>
      <c r="V55" s="105"/>
      <c r="W55" s="105"/>
      <c r="X55" s="105"/>
      <c r="Y55" s="106"/>
    </row>
    <row r="56" spans="2:25">
      <c r="B56" s="80"/>
      <c r="C56" s="65"/>
      <c r="D56" s="65"/>
      <c r="E56" s="65"/>
      <c r="F56" s="65"/>
      <c r="G56" s="172"/>
      <c r="H56" s="172"/>
      <c r="I56" s="172"/>
      <c r="J56" s="172"/>
      <c r="K56" s="172"/>
      <c r="L56" s="172"/>
      <c r="M56" s="172"/>
      <c r="N56" s="172"/>
      <c r="O56" s="172"/>
      <c r="P56" s="172"/>
      <c r="Q56" s="162"/>
      <c r="S56" s="104"/>
      <c r="T56" s="105"/>
      <c r="U56" s="105"/>
      <c r="V56" s="105"/>
      <c r="W56" s="105"/>
      <c r="X56" s="105"/>
      <c r="Y56" s="106"/>
    </row>
    <row r="57" spans="2:25">
      <c r="B57" s="80"/>
      <c r="C57" s="65"/>
      <c r="D57" s="65"/>
      <c r="E57" s="65"/>
      <c r="F57" s="65"/>
      <c r="G57" s="172"/>
      <c r="H57" s="172"/>
      <c r="I57" s="172"/>
      <c r="J57" s="172"/>
      <c r="K57" s="172"/>
      <c r="L57" s="172"/>
      <c r="M57" s="172"/>
      <c r="N57" s="172"/>
      <c r="O57" s="172"/>
      <c r="P57" s="172"/>
      <c r="Q57" s="162"/>
      <c r="S57" s="104"/>
      <c r="T57" s="105"/>
      <c r="U57" s="105"/>
      <c r="V57" s="105"/>
      <c r="W57" s="105"/>
      <c r="X57" s="105"/>
      <c r="Y57" s="106"/>
    </row>
    <row r="58" spans="2:25">
      <c r="B58" s="80"/>
      <c r="C58" s="65"/>
      <c r="D58" s="65"/>
      <c r="E58" s="65"/>
      <c r="F58" s="65"/>
      <c r="G58" s="172"/>
      <c r="H58" s="172"/>
      <c r="I58" s="172"/>
      <c r="J58" s="172"/>
      <c r="K58" s="172"/>
      <c r="L58" s="172"/>
      <c r="M58" s="172"/>
      <c r="N58" s="172"/>
      <c r="O58" s="172"/>
      <c r="P58" s="172"/>
      <c r="Q58" s="162"/>
      <c r="S58" s="104"/>
      <c r="T58" s="105"/>
      <c r="U58" s="105"/>
      <c r="V58" s="105"/>
      <c r="W58" s="105"/>
      <c r="X58" s="105"/>
      <c r="Y58" s="106"/>
    </row>
    <row r="59" spans="2:25">
      <c r="B59" s="80"/>
      <c r="C59" s="65"/>
      <c r="D59" s="65"/>
      <c r="E59" s="65"/>
      <c r="F59" s="65"/>
      <c r="G59" s="172"/>
      <c r="H59" s="172"/>
      <c r="I59" s="172"/>
      <c r="J59" s="172"/>
      <c r="K59" s="172"/>
      <c r="L59" s="172"/>
      <c r="M59" s="172"/>
      <c r="N59" s="172"/>
      <c r="O59" s="172"/>
      <c r="P59" s="172"/>
      <c r="Q59" s="162"/>
      <c r="S59" s="104"/>
      <c r="T59" s="105"/>
      <c r="U59" s="105"/>
      <c r="V59" s="105"/>
      <c r="W59" s="105"/>
      <c r="X59" s="105"/>
      <c r="Y59" s="106"/>
    </row>
    <row r="60" spans="2:25">
      <c r="B60" s="80"/>
      <c r="C60" s="65"/>
      <c r="D60" s="65"/>
      <c r="E60" s="65"/>
      <c r="F60" s="65"/>
      <c r="G60" s="172"/>
      <c r="H60" s="172"/>
      <c r="I60" s="172"/>
      <c r="J60" s="172"/>
      <c r="K60" s="172"/>
      <c r="L60" s="172"/>
      <c r="M60" s="172"/>
      <c r="N60" s="172"/>
      <c r="O60" s="172"/>
      <c r="P60" s="172"/>
      <c r="Q60" s="162"/>
      <c r="S60" s="104"/>
      <c r="T60" s="105"/>
      <c r="U60" s="105"/>
      <c r="V60" s="105"/>
      <c r="W60" s="105"/>
      <c r="X60" s="105"/>
      <c r="Y60" s="106"/>
    </row>
    <row r="61" spans="2:25">
      <c r="B61" s="80"/>
      <c r="C61" s="65"/>
      <c r="D61" s="65"/>
      <c r="E61" s="65"/>
      <c r="F61" s="65"/>
      <c r="G61" s="169"/>
      <c r="H61" s="169"/>
      <c r="I61" s="169"/>
      <c r="J61" s="169"/>
      <c r="K61" s="169"/>
      <c r="L61" s="169"/>
      <c r="M61" s="169"/>
      <c r="N61" s="169"/>
      <c r="O61" s="169"/>
      <c r="P61" s="169"/>
      <c r="Q61" s="162"/>
      <c r="S61" s="104"/>
      <c r="T61" s="105"/>
      <c r="U61" s="105"/>
      <c r="V61" s="105"/>
      <c r="W61" s="105"/>
      <c r="X61" s="105"/>
      <c r="Y61" s="106"/>
    </row>
    <row r="62" spans="2:25">
      <c r="S62" s="104"/>
      <c r="T62" s="105"/>
      <c r="U62" s="105"/>
      <c r="V62" s="105"/>
      <c r="W62" s="105"/>
      <c r="X62" s="105"/>
      <c r="Y62" s="106"/>
    </row>
    <row r="63" spans="2:25">
      <c r="S63" s="107"/>
      <c r="T63" s="108"/>
      <c r="U63" s="108"/>
      <c r="V63" s="108"/>
      <c r="W63" s="108"/>
      <c r="X63" s="108"/>
      <c r="Y63" s="109"/>
    </row>
  </sheetData>
  <mergeCells count="14">
    <mergeCell ref="S10:Y10"/>
    <mergeCell ref="D8:F8"/>
    <mergeCell ref="T4:Y4"/>
    <mergeCell ref="B8:C8"/>
    <mergeCell ref="B3:C3"/>
    <mergeCell ref="B4:C4"/>
    <mergeCell ref="B5:C5"/>
    <mergeCell ref="B6:C6"/>
    <mergeCell ref="B7:C7"/>
    <mergeCell ref="T3:Y3"/>
    <mergeCell ref="T5:Y8"/>
    <mergeCell ref="S5:S8"/>
    <mergeCell ref="G5:G8"/>
    <mergeCell ref="H5:J8"/>
  </mergeCells>
  <phoneticPr fontId="1"/>
  <conditionalFormatting sqref="F3:G3">
    <cfRule type="cellIs" dxfId="3" priority="2" operator="equal">
      <formula>"マスタデータ"</formula>
    </cfRule>
  </conditionalFormatting>
  <conditionalFormatting sqref="S3">
    <cfRule type="cellIs" dxfId="2" priority="1" operator="equal">
      <formula>"マスタデータ"</formula>
    </cfRule>
  </conditionalFormatting>
  <dataValidations count="16">
    <dataValidation type="list" allowBlank="1" showInputMessage="1" showErrorMessage="1" sqref="F3" xr:uid="{0BFD22E9-AFDE-A549-8F88-C4881C8E4881}">
      <formula1>"マスタデータ,トランザクションデータ"</formula1>
    </dataValidation>
    <dataValidation type="list" allowBlank="1" showInputMessage="1" showErrorMessage="1" sqref="F4" xr:uid="{1476FE83-D2F0-7742-9EEB-1BA274483D36}">
      <formula1>"TEMPORARY TABLE, TABLE"</formula1>
    </dataValidation>
    <dataValidation type="list" allowBlank="1" showInputMessage="1" showErrorMessage="1" sqref="E12:E61" xr:uid="{E6ADBE6B-FC94-414D-B278-4D7E53CBEF8C}">
      <formula1>DataTypeCategory</formula1>
    </dataValidation>
    <dataValidation type="list" allowBlank="1" showInputMessage="1" showErrorMessage="1" prompt="型分類を選択してから、データ型を選択してください。" sqref="F12:F61" xr:uid="{4EE7C88A-1FED-C340-AE26-D2C284951ACE}">
      <formula1>INDIRECT($E12)</formula1>
    </dataValidation>
    <dataValidation type="list" allowBlank="1" showInputMessage="1" showErrorMessage="1" sqref="F5" xr:uid="{1A77845B-6C06-734B-8761-A9FD13C9B773}">
      <formula1>MySQL_Ver</formula1>
    </dataValidation>
    <dataValidation type="list" allowBlank="1" showInputMessage="1" showErrorMessage="1" sqref="F7" xr:uid="{E40AA1F8-D611-C04A-9F45-77B8E8C1486D}">
      <formula1>Charset_List</formula1>
    </dataValidation>
    <dataValidation type="list" allowBlank="1" showInputMessage="1" showErrorMessage="1" sqref="F6" xr:uid="{C86DFCDC-0D25-3041-8222-799DC8F3A163}">
      <formula1>ENGINE</formula1>
    </dataValidation>
    <dataValidation type="list" allowBlank="1" showInputMessage="1" showErrorMessage="1" promptTitle="主キー（または複合主キー）の入力" prompt="主キーの場合は「1」を入力、_x000a_複合主キーの場合は 1〜5までの数字で入力してください。" sqref="G12:G61" xr:uid="{09826EAD-5943-B04A-A00D-5A587BFCEC37}">
      <formula1>"1,2,3,4,5"</formula1>
    </dataValidation>
    <dataValidation type="list" allowBlank="1" showInputMessage="1" showErrorMessage="1" sqref="J12:J61" xr:uid="{03997319-27A7-2046-A4AE-042895F5B222}">
      <formula1>"NOT NULL"</formula1>
    </dataValidation>
    <dataValidation imeMode="halfAlpha" allowBlank="1" showInputMessage="1" showErrorMessage="1" sqref="K12:K61" xr:uid="{952EAB5C-F296-D149-B3EA-9B5EC6EDE31D}"/>
    <dataValidation type="list" allowBlank="1" showInputMessage="1" showErrorMessage="1" sqref="L12:L61" xr:uid="{CD7FCB67-B4AB-B340-97E9-BF0700C59455}">
      <formula1>"UNSIGNED"</formula1>
    </dataValidation>
    <dataValidation type="list" allowBlank="1" showInputMessage="1" showErrorMessage="1" sqref="M12:M61" xr:uid="{B8AE4B19-4FEA-2B48-B999-83BDFC7C8C3B}">
      <formula1>"ZEROFILL"</formula1>
    </dataValidation>
    <dataValidation type="list" allowBlank="1" showInputMessage="1" showErrorMessage="1" prompt="インデックスの指定は最大10個まで対応しています。" sqref="N12:P61" xr:uid="{424CD5A6-FBC9-CF4F-992C-47B303D2845E}">
      <formula1>"1,2,3,4,5,6,7,8,9,10"</formula1>
    </dataValidation>
    <dataValidation allowBlank="1" showInputMessage="1" showErrorMessage="1" promptTitle="物理テーブル名の入力ルール" prompt="先頭4文字は、必ず「アルファベット1文字」「数字3桁」で入力してください。_x000a_例）「m001_usr_masters」_x000a_理由）出力時のシート名で利用、かつインデックスの識別子（一部）に利用します。" sqref="D6" xr:uid="{DCB15C55-A957-2848-BAE5-1B1889C467F6}"/>
    <dataValidation allowBlank="1" showInputMessage="1" showErrorMessage="1" prompt="インデックスの指定は最大10個まで対応しています。" sqref="Q12:Q61" xr:uid="{F563E39A-035B-5C4C-899D-92E79E879953}"/>
    <dataValidation type="list" allowBlank="1" showInputMessage="1" showErrorMessage="1" sqref="G12:G61" xr:uid="{52B81F7F-7417-FA4B-81AD-BF936BDA3D98}">
      <formula1>"1,2,3,4,5"</formula1>
    </dataValidation>
  </dataValidations>
  <pageMargins left="0.7" right="0.7" top="0.75" bottom="0.75" header="0.3" footer="0.3"/>
  <pageSetup paperSize="9" orientation="portrait" horizontalDpi="0" verticalDpi="0"/>
  <ignoredErrors>
    <ignoredError sqref="F5" numberStoredAsText="1"/>
  </ignoredErrors>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SQL_ButtonClick">
                <anchor moveWithCells="1">
                  <from>
                    <xdr:col>10</xdr:col>
                    <xdr:colOff>292100</xdr:colOff>
                    <xdr:row>2</xdr:row>
                    <xdr:rowOff>0</xdr:rowOff>
                  </from>
                  <to>
                    <xdr:col>15</xdr:col>
                    <xdr:colOff>114300</xdr:colOff>
                    <xdr:row>8</xdr:row>
                    <xdr:rowOff>0</xdr:rowOff>
                  </to>
                </anchor>
              </controlPr>
            </control>
          </mc:Choice>
        </mc:AlternateContent>
        <mc:AlternateContent xmlns:mc="http://schemas.openxmlformats.org/markup-compatibility/2006">
          <mc:Choice Requires="x14">
            <control shapeId="1051" r:id="rId4" name="Button 27">
              <controlPr defaultSize="0" print="0" autoFill="0" autoPict="0" macro="[0]!CopyCreateSQL_ButtonClick">
                <anchor moveWithCells="1">
                  <from>
                    <xdr:col>25</xdr:col>
                    <xdr:colOff>292100</xdr:colOff>
                    <xdr:row>9</xdr:row>
                    <xdr:rowOff>0</xdr:rowOff>
                  </from>
                  <to>
                    <xdr:col>27</xdr:col>
                    <xdr:colOff>584200</xdr:colOff>
                    <xdr:row>11</xdr:row>
                    <xdr:rowOff>0</xdr:rowOff>
                  </to>
                </anchor>
              </controlPr>
            </control>
          </mc:Choice>
        </mc:AlternateContent>
        <mc:AlternateContent xmlns:mc="http://schemas.openxmlformats.org/markup-compatibility/2006">
          <mc:Choice Requires="x14">
            <control shapeId="1053" r:id="rId5" name="Button 29">
              <controlPr defaultSize="0" print="0" autoFill="0" autoPict="0" macro="[0]!BackInputForm_ButtonClick">
                <anchor moveWithCells="1">
                  <from>
                    <xdr:col>25</xdr:col>
                    <xdr:colOff>292100</xdr:colOff>
                    <xdr:row>4</xdr:row>
                    <xdr:rowOff>0</xdr:rowOff>
                  </from>
                  <to>
                    <xdr:col>27</xdr:col>
                    <xdr:colOff>584200</xdr:colOff>
                    <xdr:row>7</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F10E6-854B-684C-B3A7-C249148A6B16}">
  <sheetPr codeName="Sheet8"/>
  <dimension ref="A1:AC63"/>
  <sheetViews>
    <sheetView showGridLines="0" tabSelected="1" zoomScale="125" workbookViewId="0">
      <selection activeCell="D3" sqref="D3"/>
    </sheetView>
  </sheetViews>
  <sheetFormatPr baseColWidth="10" defaultColWidth="11.5703125" defaultRowHeight="18"/>
  <cols>
    <col min="1" max="1" width="1.5703125" style="2" customWidth="1"/>
    <col min="2" max="2" width="4.140625" style="2" customWidth="1"/>
    <col min="3" max="3" width="17.85546875" style="58" customWidth="1"/>
    <col min="4" max="4" width="18.42578125" style="58" bestFit="1" customWidth="1"/>
    <col min="5" max="5" width="14.5703125" style="58" customWidth="1"/>
    <col min="6" max="6" width="25.85546875" style="58" bestFit="1" customWidth="1"/>
    <col min="7" max="7" width="9.7109375" style="90" bestFit="1" customWidth="1"/>
    <col min="8" max="8" width="12" style="90" bestFit="1" customWidth="1"/>
    <col min="9" max="9" width="9.5703125" style="90" bestFit="1" customWidth="1"/>
    <col min="10" max="10" width="11" style="90" customWidth="1"/>
    <col min="11" max="11" width="8.7109375" style="90" bestFit="1" customWidth="1"/>
    <col min="12" max="12" width="10.28515625" style="90" bestFit="1" customWidth="1"/>
    <col min="13" max="13" width="9.42578125" style="90" bestFit="1" customWidth="1"/>
    <col min="14" max="16" width="6.7109375" style="90" bestFit="1" customWidth="1"/>
    <col min="17" max="17" width="7.85546875" style="90" hidden="1" customWidth="1"/>
    <col min="18" max="18" width="1.7109375" style="2" customWidth="1"/>
    <col min="19" max="16384" width="11.5703125" style="2"/>
  </cols>
  <sheetData>
    <row r="1" spans="1:29" ht="25">
      <c r="A1" s="148"/>
      <c r="B1" s="98" t="str">
        <f>IF(D6&lt;&gt;"",LEFT(D6,4),"") &amp;" テーブル定義書"</f>
        <v xml:space="preserve"> テーブル定義書</v>
      </c>
      <c r="C1" s="100"/>
      <c r="D1" s="100"/>
      <c r="E1" s="100"/>
      <c r="F1" s="100"/>
      <c r="G1" s="99"/>
      <c r="H1" s="99"/>
      <c r="I1" s="99"/>
      <c r="J1" s="99"/>
      <c r="K1" s="99"/>
      <c r="L1" s="99"/>
      <c r="M1" s="99"/>
      <c r="N1" s="99"/>
      <c r="O1" s="99"/>
      <c r="P1" s="99"/>
      <c r="Q1" s="99"/>
      <c r="R1" s="148"/>
      <c r="S1" s="98" t="s">
        <v>393</v>
      </c>
      <c r="T1" s="99"/>
      <c r="U1" s="99"/>
      <c r="V1" s="99"/>
      <c r="W1" s="99"/>
      <c r="X1" s="99"/>
      <c r="Y1" s="99"/>
    </row>
    <row r="2" spans="1:29" ht="24" customHeight="1">
      <c r="B2" s="149" t="s">
        <v>376</v>
      </c>
      <c r="C2" s="67"/>
      <c r="D2" s="67"/>
      <c r="E2" s="67"/>
      <c r="F2" s="67"/>
      <c r="H2" s="89"/>
      <c r="J2" s="97" t="s">
        <v>390</v>
      </c>
      <c r="S2" s="83" t="s">
        <v>451</v>
      </c>
    </row>
    <row r="3" spans="1:29">
      <c r="B3" s="186" t="s">
        <v>167</v>
      </c>
      <c r="C3" s="187"/>
      <c r="D3" s="85"/>
      <c r="E3" s="3" t="s">
        <v>353</v>
      </c>
      <c r="F3" s="86"/>
      <c r="G3" s="3" t="s">
        <v>7</v>
      </c>
      <c r="H3" s="94"/>
      <c r="I3" s="3" t="s">
        <v>149</v>
      </c>
      <c r="J3" s="86"/>
      <c r="S3" s="3" t="s">
        <v>498</v>
      </c>
      <c r="T3" s="188"/>
      <c r="U3" s="188"/>
      <c r="V3" s="188"/>
      <c r="W3" s="188"/>
      <c r="X3" s="188"/>
      <c r="Y3" s="188"/>
    </row>
    <row r="4" spans="1:29">
      <c r="B4" s="186" t="s">
        <v>168</v>
      </c>
      <c r="C4" s="187"/>
      <c r="D4" s="85"/>
      <c r="E4" s="3" t="s">
        <v>497</v>
      </c>
      <c r="F4" s="170"/>
      <c r="G4" s="3" t="s">
        <v>367</v>
      </c>
      <c r="H4" s="86"/>
      <c r="I4" s="3" t="s">
        <v>150</v>
      </c>
      <c r="J4" s="86"/>
      <c r="L4" s="91"/>
      <c r="M4" s="91"/>
      <c r="N4" s="91"/>
      <c r="S4" s="3" t="s">
        <v>499</v>
      </c>
      <c r="T4" s="185"/>
      <c r="U4" s="185"/>
      <c r="V4" s="185"/>
      <c r="W4" s="185"/>
      <c r="X4" s="185"/>
      <c r="Y4" s="185"/>
    </row>
    <row r="5" spans="1:29" ht="20" customHeight="1">
      <c r="B5" s="186" t="s">
        <v>379</v>
      </c>
      <c r="C5" s="187"/>
      <c r="D5" s="86"/>
      <c r="E5" s="3" t="s">
        <v>383</v>
      </c>
      <c r="F5" s="87"/>
      <c r="G5" s="191" t="s">
        <v>351</v>
      </c>
      <c r="H5" s="192"/>
      <c r="I5" s="192"/>
      <c r="J5" s="192"/>
      <c r="L5" s="82"/>
      <c r="M5" s="82"/>
      <c r="N5" s="82"/>
      <c r="S5" s="191" t="s">
        <v>500</v>
      </c>
      <c r="T5" s="189"/>
      <c r="U5" s="190"/>
      <c r="V5" s="190"/>
      <c r="W5" s="190"/>
      <c r="X5" s="190"/>
      <c r="Y5" s="190"/>
    </row>
    <row r="6" spans="1:29" ht="20" customHeight="1">
      <c r="B6" s="186" t="s">
        <v>380</v>
      </c>
      <c r="C6" s="187"/>
      <c r="D6" s="88"/>
      <c r="E6" s="3" t="s">
        <v>384</v>
      </c>
      <c r="F6" s="88"/>
      <c r="G6" s="191"/>
      <c r="H6" s="192"/>
      <c r="I6" s="192"/>
      <c r="J6" s="192"/>
      <c r="L6" s="82"/>
      <c r="M6" s="82"/>
      <c r="N6" s="82"/>
      <c r="S6" s="191"/>
      <c r="T6" s="190"/>
      <c r="U6" s="190"/>
      <c r="V6" s="190"/>
      <c r="W6" s="190"/>
      <c r="X6" s="190"/>
      <c r="Y6" s="190"/>
    </row>
    <row r="7" spans="1:29" ht="20" customHeight="1">
      <c r="B7" s="186" t="s">
        <v>381</v>
      </c>
      <c r="C7" s="187"/>
      <c r="D7" s="88"/>
      <c r="E7" s="3" t="s">
        <v>385</v>
      </c>
      <c r="F7" s="88"/>
      <c r="G7" s="191"/>
      <c r="H7" s="192"/>
      <c r="I7" s="192"/>
      <c r="J7" s="192"/>
      <c r="L7" s="82"/>
      <c r="M7" s="82"/>
      <c r="N7" s="82"/>
      <c r="S7" s="191"/>
      <c r="T7" s="190"/>
      <c r="U7" s="190"/>
      <c r="V7" s="190"/>
      <c r="W7" s="190"/>
      <c r="X7" s="190"/>
      <c r="Y7" s="190"/>
    </row>
    <row r="8" spans="1:29" ht="21" customHeight="1">
      <c r="B8" s="186" t="s">
        <v>382</v>
      </c>
      <c r="C8" s="187"/>
      <c r="D8" s="182"/>
      <c r="E8" s="183"/>
      <c r="F8" s="184"/>
      <c r="G8" s="191"/>
      <c r="H8" s="192"/>
      <c r="I8" s="192"/>
      <c r="J8" s="192"/>
      <c r="L8" s="82"/>
      <c r="M8" s="82"/>
      <c r="N8" s="82"/>
      <c r="S8" s="191"/>
      <c r="T8" s="190"/>
      <c r="U8" s="190"/>
      <c r="V8" s="190"/>
      <c r="W8" s="190"/>
      <c r="X8" s="190"/>
      <c r="Y8" s="190"/>
    </row>
    <row r="9" spans="1:29">
      <c r="J9" s="95"/>
      <c r="L9" s="91"/>
      <c r="M9" s="91"/>
      <c r="N9" s="91"/>
      <c r="S9" s="83" t="s">
        <v>452</v>
      </c>
    </row>
    <row r="10" spans="1:29">
      <c r="B10" s="83" t="s">
        <v>152</v>
      </c>
      <c r="H10" s="96" t="s">
        <v>392</v>
      </c>
      <c r="I10" s="96" t="s">
        <v>391</v>
      </c>
      <c r="J10" s="96" t="s">
        <v>391</v>
      </c>
      <c r="K10" s="96" t="s">
        <v>391</v>
      </c>
      <c r="L10" s="96" t="s">
        <v>391</v>
      </c>
      <c r="M10" s="96" t="s">
        <v>391</v>
      </c>
      <c r="Q10" s="96" t="s">
        <v>395</v>
      </c>
      <c r="S10" s="180" t="s">
        <v>414</v>
      </c>
      <c r="T10" s="181"/>
      <c r="U10" s="181"/>
      <c r="V10" s="181"/>
      <c r="W10" s="181"/>
      <c r="X10" s="181"/>
      <c r="Y10" s="181"/>
      <c r="AC10" s="2" t="s">
        <v>503</v>
      </c>
    </row>
    <row r="11" spans="1:29" s="84" customFormat="1" ht="51">
      <c r="B11" s="92" t="s">
        <v>6</v>
      </c>
      <c r="C11" s="93" t="s">
        <v>386</v>
      </c>
      <c r="D11" s="93" t="s">
        <v>387</v>
      </c>
      <c r="E11" s="93" t="s">
        <v>388</v>
      </c>
      <c r="F11" s="93" t="s">
        <v>389</v>
      </c>
      <c r="G11" s="163" t="s">
        <v>372</v>
      </c>
      <c r="H11" s="164" t="s">
        <v>486</v>
      </c>
      <c r="I11" s="165" t="s">
        <v>487</v>
      </c>
      <c r="J11" s="165" t="s">
        <v>373</v>
      </c>
      <c r="K11" s="165" t="s">
        <v>488</v>
      </c>
      <c r="L11" s="166" t="s">
        <v>484</v>
      </c>
      <c r="M11" s="166" t="s">
        <v>485</v>
      </c>
      <c r="N11" s="167" t="s">
        <v>448</v>
      </c>
      <c r="O11" s="167" t="s">
        <v>449</v>
      </c>
      <c r="P11" s="167" t="s">
        <v>450</v>
      </c>
      <c r="Q11" s="166" t="s">
        <v>394</v>
      </c>
      <c r="S11" s="101"/>
      <c r="T11" s="102"/>
      <c r="U11" s="102"/>
      <c r="V11" s="102"/>
      <c r="W11" s="102"/>
      <c r="X11" s="102"/>
      <c r="Y11" s="103"/>
    </row>
    <row r="12" spans="1:29">
      <c r="B12" s="80"/>
      <c r="C12" s="65"/>
      <c r="D12" s="65"/>
      <c r="E12" s="65"/>
      <c r="F12" s="65"/>
      <c r="G12" s="175"/>
      <c r="H12" s="175"/>
      <c r="I12" s="175"/>
      <c r="J12" s="175"/>
      <c r="K12" s="175"/>
      <c r="L12" s="175"/>
      <c r="M12" s="175"/>
      <c r="N12" s="175"/>
      <c r="O12" s="175"/>
      <c r="P12" s="175"/>
      <c r="Q12" s="162"/>
      <c r="S12" s="104"/>
      <c r="T12" s="105"/>
      <c r="U12" s="105"/>
      <c r="V12" s="105"/>
      <c r="W12" s="105"/>
      <c r="X12" s="105"/>
      <c r="Y12" s="106"/>
    </row>
    <row r="13" spans="1:29">
      <c r="B13" s="80"/>
      <c r="C13" s="65"/>
      <c r="D13" s="65"/>
      <c r="E13" s="65"/>
      <c r="F13" s="65"/>
      <c r="G13" s="175"/>
      <c r="H13" s="175"/>
      <c r="I13" s="175"/>
      <c r="J13" s="175"/>
      <c r="K13" s="175"/>
      <c r="L13" s="175"/>
      <c r="M13" s="175"/>
      <c r="N13" s="175"/>
      <c r="O13" s="175"/>
      <c r="P13" s="175"/>
      <c r="Q13" s="162"/>
      <c r="S13" s="104"/>
      <c r="T13" s="105"/>
      <c r="U13" s="105"/>
      <c r="V13" s="105"/>
      <c r="W13" s="105"/>
      <c r="X13" s="105"/>
      <c r="Y13" s="106"/>
    </row>
    <row r="14" spans="1:29">
      <c r="B14" s="80"/>
      <c r="C14" s="65"/>
      <c r="D14" s="65"/>
      <c r="E14" s="65"/>
      <c r="F14" s="65"/>
      <c r="G14" s="175"/>
      <c r="H14" s="175"/>
      <c r="I14" s="175"/>
      <c r="J14" s="175"/>
      <c r="K14" s="175"/>
      <c r="L14" s="175"/>
      <c r="M14" s="175"/>
      <c r="N14" s="175"/>
      <c r="O14" s="175"/>
      <c r="P14" s="175"/>
      <c r="Q14" s="162"/>
      <c r="S14" s="104"/>
      <c r="T14" s="105"/>
      <c r="U14" s="105"/>
      <c r="V14" s="105"/>
      <c r="W14" s="105"/>
      <c r="X14" s="105"/>
      <c r="Y14" s="106"/>
    </row>
    <row r="15" spans="1:29">
      <c r="B15" s="80"/>
      <c r="C15" s="65"/>
      <c r="D15" s="65"/>
      <c r="E15" s="65"/>
      <c r="F15" s="65"/>
      <c r="G15" s="175"/>
      <c r="H15" s="175"/>
      <c r="I15" s="175"/>
      <c r="J15" s="175"/>
      <c r="K15" s="175"/>
      <c r="L15" s="175"/>
      <c r="M15" s="175"/>
      <c r="N15" s="175"/>
      <c r="O15" s="175"/>
      <c r="P15" s="175"/>
      <c r="Q15" s="162"/>
      <c r="S15" s="104"/>
      <c r="T15" s="105"/>
      <c r="U15" s="105"/>
      <c r="V15" s="105"/>
      <c r="W15" s="105"/>
      <c r="X15" s="105"/>
      <c r="Y15" s="106"/>
    </row>
    <row r="16" spans="1:29">
      <c r="B16" s="80"/>
      <c r="C16" s="65"/>
      <c r="D16" s="65"/>
      <c r="E16" s="65"/>
      <c r="F16" s="65"/>
      <c r="G16" s="175"/>
      <c r="H16" s="175"/>
      <c r="I16" s="175"/>
      <c r="J16" s="175"/>
      <c r="K16" s="175"/>
      <c r="L16" s="175"/>
      <c r="M16" s="175"/>
      <c r="N16" s="175"/>
      <c r="O16" s="175"/>
      <c r="P16" s="175"/>
      <c r="Q16" s="162"/>
      <c r="S16" s="104"/>
      <c r="T16" s="105"/>
      <c r="U16" s="105"/>
      <c r="V16" s="105"/>
      <c r="W16" s="105"/>
      <c r="X16" s="105"/>
      <c r="Y16" s="106"/>
    </row>
    <row r="17" spans="2:25">
      <c r="B17" s="80"/>
      <c r="C17" s="65"/>
      <c r="D17" s="65"/>
      <c r="E17" s="65"/>
      <c r="F17" s="65"/>
      <c r="G17" s="175"/>
      <c r="H17" s="175"/>
      <c r="I17" s="175"/>
      <c r="J17" s="175"/>
      <c r="K17" s="175"/>
      <c r="L17" s="175"/>
      <c r="M17" s="175"/>
      <c r="N17" s="175"/>
      <c r="O17" s="175"/>
      <c r="P17" s="175"/>
      <c r="Q17" s="162"/>
      <c r="S17" s="104"/>
      <c r="T17" s="105"/>
      <c r="U17" s="105"/>
      <c r="V17" s="105"/>
      <c r="W17" s="105"/>
      <c r="X17" s="105"/>
      <c r="Y17" s="106"/>
    </row>
    <row r="18" spans="2:25">
      <c r="B18" s="80"/>
      <c r="C18" s="65"/>
      <c r="D18" s="65"/>
      <c r="E18" s="65"/>
      <c r="F18" s="65"/>
      <c r="G18" s="175"/>
      <c r="H18" s="175"/>
      <c r="I18" s="175"/>
      <c r="J18" s="175"/>
      <c r="K18" s="175"/>
      <c r="L18" s="175"/>
      <c r="M18" s="175"/>
      <c r="N18" s="175"/>
      <c r="O18" s="175"/>
      <c r="P18" s="175"/>
      <c r="Q18" s="162"/>
      <c r="S18" s="104"/>
      <c r="T18" s="105"/>
      <c r="U18" s="105"/>
      <c r="V18" s="105"/>
      <c r="W18" s="105"/>
      <c r="X18" s="105"/>
      <c r="Y18" s="106"/>
    </row>
    <row r="19" spans="2:25">
      <c r="B19" s="80"/>
      <c r="C19" s="65"/>
      <c r="D19" s="65"/>
      <c r="E19" s="65"/>
      <c r="F19" s="65"/>
      <c r="G19" s="175"/>
      <c r="H19" s="175"/>
      <c r="I19" s="175"/>
      <c r="J19" s="175"/>
      <c r="K19" s="175"/>
      <c r="L19" s="175"/>
      <c r="M19" s="175"/>
      <c r="N19" s="175"/>
      <c r="O19" s="175"/>
      <c r="P19" s="175"/>
      <c r="Q19" s="162"/>
      <c r="S19" s="104"/>
      <c r="T19" s="105"/>
      <c r="U19" s="105"/>
      <c r="V19" s="105"/>
      <c r="W19" s="105"/>
      <c r="X19" s="105"/>
      <c r="Y19" s="106"/>
    </row>
    <row r="20" spans="2:25">
      <c r="B20" s="80"/>
      <c r="C20" s="65"/>
      <c r="D20" s="65"/>
      <c r="E20" s="65"/>
      <c r="F20" s="65"/>
      <c r="G20" s="175"/>
      <c r="H20" s="175"/>
      <c r="I20" s="175"/>
      <c r="J20" s="175"/>
      <c r="K20" s="175"/>
      <c r="L20" s="175"/>
      <c r="M20" s="175"/>
      <c r="N20" s="175"/>
      <c r="O20" s="175"/>
      <c r="P20" s="175"/>
      <c r="Q20" s="162"/>
      <c r="S20" s="104"/>
      <c r="T20" s="105"/>
      <c r="U20" s="105"/>
      <c r="V20" s="105"/>
      <c r="W20" s="105"/>
      <c r="X20" s="105"/>
      <c r="Y20" s="106"/>
    </row>
    <row r="21" spans="2:25">
      <c r="B21" s="80"/>
      <c r="C21" s="65"/>
      <c r="D21" s="65"/>
      <c r="E21" s="65"/>
      <c r="F21" s="65"/>
      <c r="G21" s="175"/>
      <c r="H21" s="175"/>
      <c r="I21" s="175"/>
      <c r="J21" s="175"/>
      <c r="K21" s="175"/>
      <c r="L21" s="175"/>
      <c r="M21" s="175"/>
      <c r="N21" s="175"/>
      <c r="O21" s="175"/>
      <c r="P21" s="175"/>
      <c r="Q21" s="162"/>
      <c r="S21" s="104"/>
      <c r="T21" s="105"/>
      <c r="U21" s="105"/>
      <c r="V21" s="105"/>
      <c r="W21" s="105"/>
      <c r="X21" s="105"/>
      <c r="Y21" s="106"/>
    </row>
    <row r="22" spans="2:25">
      <c r="B22" s="80"/>
      <c r="C22" s="65"/>
      <c r="D22" s="65"/>
      <c r="E22" s="65"/>
      <c r="F22" s="65"/>
      <c r="G22" s="175"/>
      <c r="H22" s="175"/>
      <c r="I22" s="175"/>
      <c r="J22" s="175"/>
      <c r="K22" s="175"/>
      <c r="L22" s="175"/>
      <c r="M22" s="175"/>
      <c r="N22" s="175"/>
      <c r="O22" s="175"/>
      <c r="P22" s="175"/>
      <c r="Q22" s="162"/>
      <c r="S22" s="104"/>
      <c r="T22" s="105"/>
      <c r="U22" s="105"/>
      <c r="V22" s="105"/>
      <c r="W22" s="105"/>
      <c r="X22" s="105"/>
      <c r="Y22" s="106"/>
    </row>
    <row r="23" spans="2:25">
      <c r="B23" s="80"/>
      <c r="C23" s="65"/>
      <c r="D23" s="65"/>
      <c r="E23" s="65"/>
      <c r="F23" s="65"/>
      <c r="G23" s="175"/>
      <c r="H23" s="175"/>
      <c r="I23" s="175"/>
      <c r="J23" s="175"/>
      <c r="K23" s="175"/>
      <c r="L23" s="175"/>
      <c r="M23" s="175"/>
      <c r="N23" s="175"/>
      <c r="O23" s="175"/>
      <c r="P23" s="175"/>
      <c r="Q23" s="162"/>
      <c r="S23" s="104"/>
      <c r="T23" s="105"/>
      <c r="U23" s="105"/>
      <c r="V23" s="105"/>
      <c r="W23" s="105"/>
      <c r="X23" s="105"/>
      <c r="Y23" s="106"/>
    </row>
    <row r="24" spans="2:25">
      <c r="B24" s="80"/>
      <c r="C24" s="65"/>
      <c r="D24" s="65"/>
      <c r="E24" s="65"/>
      <c r="F24" s="65"/>
      <c r="G24" s="175"/>
      <c r="H24" s="175"/>
      <c r="I24" s="175"/>
      <c r="J24" s="175"/>
      <c r="K24" s="175"/>
      <c r="L24" s="175"/>
      <c r="M24" s="175"/>
      <c r="N24" s="175"/>
      <c r="O24" s="175"/>
      <c r="P24" s="175"/>
      <c r="Q24" s="162"/>
      <c r="S24" s="104"/>
      <c r="T24" s="105"/>
      <c r="U24" s="105"/>
      <c r="V24" s="105"/>
      <c r="W24" s="105"/>
      <c r="X24" s="105"/>
      <c r="Y24" s="106"/>
    </row>
    <row r="25" spans="2:25">
      <c r="B25" s="80"/>
      <c r="C25" s="65"/>
      <c r="D25" s="65"/>
      <c r="E25" s="65"/>
      <c r="F25" s="65"/>
      <c r="G25" s="175"/>
      <c r="H25" s="175"/>
      <c r="I25" s="175"/>
      <c r="J25" s="175"/>
      <c r="K25" s="175"/>
      <c r="L25" s="175"/>
      <c r="M25" s="175"/>
      <c r="N25" s="175"/>
      <c r="O25" s="175"/>
      <c r="P25" s="175"/>
      <c r="Q25" s="162"/>
      <c r="S25" s="104"/>
      <c r="T25" s="105"/>
      <c r="U25" s="105"/>
      <c r="V25" s="105"/>
      <c r="W25" s="105"/>
      <c r="X25" s="105"/>
      <c r="Y25" s="106"/>
    </row>
    <row r="26" spans="2:25">
      <c r="B26" s="80"/>
      <c r="C26" s="65"/>
      <c r="D26" s="65"/>
      <c r="E26" s="65"/>
      <c r="F26" s="65"/>
      <c r="G26" s="175"/>
      <c r="H26" s="175"/>
      <c r="I26" s="175"/>
      <c r="J26" s="175"/>
      <c r="K26" s="175"/>
      <c r="L26" s="175"/>
      <c r="M26" s="175"/>
      <c r="N26" s="175"/>
      <c r="O26" s="175"/>
      <c r="P26" s="175"/>
      <c r="Q26" s="162"/>
      <c r="S26" s="104"/>
      <c r="T26" s="105"/>
      <c r="U26" s="105"/>
      <c r="V26" s="105"/>
      <c r="W26" s="105"/>
      <c r="X26" s="105"/>
      <c r="Y26" s="106"/>
    </row>
    <row r="27" spans="2:25">
      <c r="B27" s="80"/>
      <c r="C27" s="65"/>
      <c r="D27" s="65"/>
      <c r="E27" s="65"/>
      <c r="F27" s="65"/>
      <c r="G27" s="175"/>
      <c r="H27" s="175"/>
      <c r="I27" s="175"/>
      <c r="J27" s="175"/>
      <c r="K27" s="175"/>
      <c r="L27" s="175"/>
      <c r="M27" s="175"/>
      <c r="N27" s="175"/>
      <c r="O27" s="175"/>
      <c r="P27" s="175"/>
      <c r="Q27" s="162"/>
      <c r="S27" s="104"/>
      <c r="T27" s="105"/>
      <c r="U27" s="105"/>
      <c r="V27" s="105"/>
      <c r="W27" s="105"/>
      <c r="X27" s="105"/>
      <c r="Y27" s="106"/>
    </row>
    <row r="28" spans="2:25">
      <c r="B28" s="80"/>
      <c r="C28" s="65"/>
      <c r="D28" s="65"/>
      <c r="E28" s="65"/>
      <c r="F28" s="65"/>
      <c r="G28" s="175"/>
      <c r="H28" s="175"/>
      <c r="I28" s="175"/>
      <c r="J28" s="175"/>
      <c r="K28" s="175"/>
      <c r="L28" s="175"/>
      <c r="M28" s="175"/>
      <c r="N28" s="175"/>
      <c r="O28" s="175"/>
      <c r="P28" s="175"/>
      <c r="Q28" s="162"/>
      <c r="S28" s="104"/>
      <c r="T28" s="105"/>
      <c r="U28" s="105"/>
      <c r="V28" s="105"/>
      <c r="W28" s="105"/>
      <c r="X28" s="105"/>
      <c r="Y28" s="106"/>
    </row>
    <row r="29" spans="2:25">
      <c r="B29" s="80"/>
      <c r="C29" s="65"/>
      <c r="D29" s="65"/>
      <c r="E29" s="65"/>
      <c r="F29" s="65"/>
      <c r="G29" s="175"/>
      <c r="H29" s="175"/>
      <c r="I29" s="175"/>
      <c r="J29" s="175"/>
      <c r="K29" s="175"/>
      <c r="L29" s="175"/>
      <c r="M29" s="175"/>
      <c r="N29" s="175"/>
      <c r="O29" s="175"/>
      <c r="P29" s="175"/>
      <c r="Q29" s="162"/>
      <c r="S29" s="104"/>
      <c r="T29" s="105"/>
      <c r="U29" s="105"/>
      <c r="V29" s="105"/>
      <c r="W29" s="105"/>
      <c r="X29" s="105"/>
      <c r="Y29" s="106"/>
    </row>
    <row r="30" spans="2:25">
      <c r="B30" s="80"/>
      <c r="C30" s="65"/>
      <c r="D30" s="65"/>
      <c r="E30" s="65"/>
      <c r="F30" s="65"/>
      <c r="G30" s="175"/>
      <c r="H30" s="175"/>
      <c r="I30" s="175"/>
      <c r="J30" s="175"/>
      <c r="K30" s="175"/>
      <c r="L30" s="175"/>
      <c r="M30" s="175"/>
      <c r="N30" s="175"/>
      <c r="O30" s="175"/>
      <c r="P30" s="175"/>
      <c r="Q30" s="162"/>
      <c r="S30" s="104"/>
      <c r="T30" s="105"/>
      <c r="U30" s="105"/>
      <c r="V30" s="105"/>
      <c r="W30" s="105"/>
      <c r="X30" s="105"/>
      <c r="Y30" s="106"/>
    </row>
    <row r="31" spans="2:25">
      <c r="B31" s="80"/>
      <c r="C31" s="65"/>
      <c r="D31" s="65"/>
      <c r="E31" s="65"/>
      <c r="F31" s="65"/>
      <c r="G31" s="175"/>
      <c r="H31" s="175"/>
      <c r="I31" s="175"/>
      <c r="J31" s="175"/>
      <c r="K31" s="175"/>
      <c r="L31" s="175"/>
      <c r="M31" s="175"/>
      <c r="N31" s="175"/>
      <c r="O31" s="175"/>
      <c r="P31" s="175"/>
      <c r="Q31" s="162"/>
      <c r="S31" s="104"/>
      <c r="T31" s="105"/>
      <c r="U31" s="105"/>
      <c r="V31" s="105"/>
      <c r="W31" s="105"/>
      <c r="X31" s="105"/>
      <c r="Y31" s="106"/>
    </row>
    <row r="32" spans="2:25">
      <c r="B32" s="80"/>
      <c r="C32" s="65"/>
      <c r="D32" s="65"/>
      <c r="E32" s="65"/>
      <c r="F32" s="65"/>
      <c r="G32" s="175"/>
      <c r="H32" s="175"/>
      <c r="I32" s="175"/>
      <c r="J32" s="175"/>
      <c r="K32" s="175"/>
      <c r="L32" s="175"/>
      <c r="M32" s="175"/>
      <c r="N32" s="175"/>
      <c r="O32" s="175"/>
      <c r="P32" s="175"/>
      <c r="Q32" s="162"/>
      <c r="S32" s="104"/>
      <c r="T32" s="105"/>
      <c r="U32" s="105"/>
      <c r="V32" s="105"/>
      <c r="W32" s="105"/>
      <c r="X32" s="105"/>
      <c r="Y32" s="106"/>
    </row>
    <row r="33" spans="2:25">
      <c r="B33" s="80"/>
      <c r="C33" s="65"/>
      <c r="D33" s="65"/>
      <c r="E33" s="65"/>
      <c r="F33" s="65"/>
      <c r="G33" s="175"/>
      <c r="H33" s="175"/>
      <c r="I33" s="175"/>
      <c r="J33" s="175"/>
      <c r="K33" s="175"/>
      <c r="L33" s="175"/>
      <c r="M33" s="175"/>
      <c r="N33" s="175"/>
      <c r="O33" s="175"/>
      <c r="P33" s="175"/>
      <c r="Q33" s="162"/>
      <c r="S33" s="104"/>
      <c r="T33" s="105"/>
      <c r="U33" s="105"/>
      <c r="V33" s="105"/>
      <c r="W33" s="105"/>
      <c r="X33" s="105"/>
      <c r="Y33" s="106"/>
    </row>
    <row r="34" spans="2:25">
      <c r="B34" s="80"/>
      <c r="C34" s="65"/>
      <c r="D34" s="65"/>
      <c r="E34" s="65"/>
      <c r="F34" s="65"/>
      <c r="G34" s="175"/>
      <c r="H34" s="175"/>
      <c r="I34" s="175"/>
      <c r="J34" s="175"/>
      <c r="K34" s="175"/>
      <c r="L34" s="175"/>
      <c r="M34" s="175"/>
      <c r="N34" s="175"/>
      <c r="O34" s="175"/>
      <c r="P34" s="175"/>
      <c r="Q34" s="162"/>
      <c r="S34" s="104"/>
      <c r="T34" s="105"/>
      <c r="U34" s="105"/>
      <c r="V34" s="105"/>
      <c r="W34" s="105"/>
      <c r="X34" s="105"/>
      <c r="Y34" s="106"/>
    </row>
    <row r="35" spans="2:25">
      <c r="B35" s="80"/>
      <c r="C35" s="65"/>
      <c r="D35" s="65"/>
      <c r="E35" s="65"/>
      <c r="F35" s="65"/>
      <c r="G35" s="175"/>
      <c r="H35" s="175"/>
      <c r="I35" s="175"/>
      <c r="J35" s="175"/>
      <c r="K35" s="175"/>
      <c r="L35" s="175"/>
      <c r="M35" s="175"/>
      <c r="N35" s="175"/>
      <c r="O35" s="175"/>
      <c r="P35" s="175"/>
      <c r="Q35" s="162"/>
      <c r="S35" s="104"/>
      <c r="T35" s="105"/>
      <c r="U35" s="105"/>
      <c r="V35" s="105"/>
      <c r="W35" s="105"/>
      <c r="X35" s="105"/>
      <c r="Y35" s="106"/>
    </row>
    <row r="36" spans="2:25">
      <c r="B36" s="80"/>
      <c r="C36" s="65"/>
      <c r="D36" s="65"/>
      <c r="E36" s="65"/>
      <c r="F36" s="65"/>
      <c r="G36" s="175"/>
      <c r="H36" s="175"/>
      <c r="I36" s="175"/>
      <c r="J36" s="175"/>
      <c r="K36" s="175"/>
      <c r="L36" s="175"/>
      <c r="M36" s="175"/>
      <c r="N36" s="175"/>
      <c r="O36" s="175"/>
      <c r="P36" s="175"/>
      <c r="Q36" s="162"/>
      <c r="S36" s="104"/>
      <c r="T36" s="105"/>
      <c r="U36" s="105"/>
      <c r="V36" s="105"/>
      <c r="W36" s="105"/>
      <c r="X36" s="105"/>
      <c r="Y36" s="106"/>
    </row>
    <row r="37" spans="2:25">
      <c r="B37" s="80"/>
      <c r="C37" s="65"/>
      <c r="D37" s="65"/>
      <c r="E37" s="65"/>
      <c r="F37" s="65"/>
      <c r="G37" s="175"/>
      <c r="H37" s="175"/>
      <c r="I37" s="175"/>
      <c r="J37" s="175"/>
      <c r="K37" s="175"/>
      <c r="L37" s="175"/>
      <c r="M37" s="175"/>
      <c r="N37" s="175"/>
      <c r="O37" s="175"/>
      <c r="P37" s="175"/>
      <c r="Q37" s="162"/>
      <c r="S37" s="104"/>
      <c r="T37" s="105"/>
      <c r="U37" s="105"/>
      <c r="V37" s="105"/>
      <c r="W37" s="105"/>
      <c r="X37" s="105"/>
      <c r="Y37" s="106"/>
    </row>
    <row r="38" spans="2:25">
      <c r="B38" s="80"/>
      <c r="C38" s="65"/>
      <c r="D38" s="65"/>
      <c r="E38" s="65"/>
      <c r="F38" s="65"/>
      <c r="G38" s="175"/>
      <c r="H38" s="175"/>
      <c r="I38" s="175"/>
      <c r="J38" s="175"/>
      <c r="K38" s="175"/>
      <c r="L38" s="175"/>
      <c r="M38" s="175"/>
      <c r="N38" s="175"/>
      <c r="O38" s="175"/>
      <c r="P38" s="175"/>
      <c r="Q38" s="162"/>
      <c r="S38" s="104"/>
      <c r="T38" s="105"/>
      <c r="U38" s="105"/>
      <c r="V38" s="105"/>
      <c r="W38" s="105"/>
      <c r="X38" s="105"/>
      <c r="Y38" s="106"/>
    </row>
    <row r="39" spans="2:25">
      <c r="B39" s="80"/>
      <c r="C39" s="65"/>
      <c r="D39" s="65"/>
      <c r="E39" s="65"/>
      <c r="F39" s="65"/>
      <c r="G39" s="175"/>
      <c r="H39" s="175"/>
      <c r="I39" s="175"/>
      <c r="J39" s="175"/>
      <c r="K39" s="175"/>
      <c r="L39" s="175"/>
      <c r="M39" s="175"/>
      <c r="N39" s="175"/>
      <c r="O39" s="175"/>
      <c r="P39" s="175"/>
      <c r="Q39" s="162"/>
      <c r="S39" s="104"/>
      <c r="T39" s="105"/>
      <c r="U39" s="105"/>
      <c r="V39" s="105"/>
      <c r="W39" s="105"/>
      <c r="X39" s="105"/>
      <c r="Y39" s="106"/>
    </row>
    <row r="40" spans="2:25">
      <c r="B40" s="80"/>
      <c r="C40" s="65"/>
      <c r="D40" s="65"/>
      <c r="E40" s="65"/>
      <c r="F40" s="65"/>
      <c r="G40" s="175"/>
      <c r="H40" s="175"/>
      <c r="I40" s="175"/>
      <c r="J40" s="175"/>
      <c r="K40" s="175"/>
      <c r="L40" s="175"/>
      <c r="M40" s="175"/>
      <c r="N40" s="175"/>
      <c r="O40" s="175"/>
      <c r="P40" s="175"/>
      <c r="Q40" s="162"/>
      <c r="S40" s="104"/>
      <c r="T40" s="105"/>
      <c r="U40" s="105"/>
      <c r="V40" s="105"/>
      <c r="W40" s="105"/>
      <c r="X40" s="105"/>
      <c r="Y40" s="106"/>
    </row>
    <row r="41" spans="2:25">
      <c r="B41" s="80"/>
      <c r="C41" s="65"/>
      <c r="D41" s="65"/>
      <c r="E41" s="65"/>
      <c r="F41" s="65"/>
      <c r="G41" s="175"/>
      <c r="H41" s="175"/>
      <c r="I41" s="175"/>
      <c r="J41" s="175"/>
      <c r="K41" s="175"/>
      <c r="L41" s="175"/>
      <c r="M41" s="175"/>
      <c r="N41" s="175"/>
      <c r="O41" s="175"/>
      <c r="P41" s="175"/>
      <c r="Q41" s="162"/>
      <c r="S41" s="104"/>
      <c r="T41" s="105"/>
      <c r="U41" s="105"/>
      <c r="V41" s="105"/>
      <c r="W41" s="105"/>
      <c r="X41" s="105"/>
      <c r="Y41" s="106"/>
    </row>
    <row r="42" spans="2:25">
      <c r="B42" s="80"/>
      <c r="C42" s="65"/>
      <c r="D42" s="65"/>
      <c r="E42" s="65"/>
      <c r="F42" s="65"/>
      <c r="G42" s="175"/>
      <c r="H42" s="175"/>
      <c r="I42" s="175"/>
      <c r="J42" s="175"/>
      <c r="K42" s="175"/>
      <c r="L42" s="175"/>
      <c r="M42" s="175"/>
      <c r="N42" s="175"/>
      <c r="O42" s="175"/>
      <c r="P42" s="175"/>
      <c r="Q42" s="162"/>
      <c r="S42" s="104"/>
      <c r="T42" s="105"/>
      <c r="U42" s="105"/>
      <c r="V42" s="105"/>
      <c r="W42" s="105"/>
      <c r="X42" s="105"/>
      <c r="Y42" s="106"/>
    </row>
    <row r="43" spans="2:25">
      <c r="B43" s="80"/>
      <c r="C43" s="65"/>
      <c r="D43" s="65"/>
      <c r="E43" s="65"/>
      <c r="F43" s="65"/>
      <c r="G43" s="175"/>
      <c r="H43" s="175"/>
      <c r="I43" s="175"/>
      <c r="J43" s="175"/>
      <c r="K43" s="175"/>
      <c r="L43" s="175"/>
      <c r="M43" s="175"/>
      <c r="N43" s="175"/>
      <c r="O43" s="175"/>
      <c r="P43" s="175"/>
      <c r="Q43" s="162"/>
      <c r="S43" s="104"/>
      <c r="T43" s="105"/>
      <c r="U43" s="105"/>
      <c r="V43" s="105"/>
      <c r="W43" s="105"/>
      <c r="X43" s="105"/>
      <c r="Y43" s="106"/>
    </row>
    <row r="44" spans="2:25">
      <c r="B44" s="80"/>
      <c r="C44" s="65"/>
      <c r="D44" s="65"/>
      <c r="E44" s="65"/>
      <c r="F44" s="65"/>
      <c r="G44" s="175"/>
      <c r="H44" s="175"/>
      <c r="I44" s="175"/>
      <c r="J44" s="175"/>
      <c r="K44" s="175"/>
      <c r="L44" s="175"/>
      <c r="M44" s="175"/>
      <c r="N44" s="175"/>
      <c r="O44" s="175"/>
      <c r="P44" s="175"/>
      <c r="Q44" s="162"/>
      <c r="S44" s="104"/>
      <c r="T44" s="105"/>
      <c r="U44" s="105"/>
      <c r="V44" s="105"/>
      <c r="W44" s="105"/>
      <c r="X44" s="105"/>
      <c r="Y44" s="106"/>
    </row>
    <row r="45" spans="2:25">
      <c r="B45" s="80"/>
      <c r="C45" s="65"/>
      <c r="D45" s="65"/>
      <c r="E45" s="65"/>
      <c r="F45" s="65"/>
      <c r="G45" s="175"/>
      <c r="H45" s="175"/>
      <c r="I45" s="175"/>
      <c r="J45" s="175"/>
      <c r="K45" s="175"/>
      <c r="L45" s="175"/>
      <c r="M45" s="175"/>
      <c r="N45" s="175"/>
      <c r="O45" s="175"/>
      <c r="P45" s="175"/>
      <c r="Q45" s="162"/>
      <c r="S45" s="104"/>
      <c r="T45" s="105"/>
      <c r="U45" s="105"/>
      <c r="V45" s="105"/>
      <c r="W45" s="105"/>
      <c r="X45" s="105"/>
      <c r="Y45" s="106"/>
    </row>
    <row r="46" spans="2:25">
      <c r="B46" s="80"/>
      <c r="C46" s="65"/>
      <c r="D46" s="65"/>
      <c r="E46" s="65"/>
      <c r="F46" s="65"/>
      <c r="G46" s="175"/>
      <c r="H46" s="175"/>
      <c r="I46" s="175"/>
      <c r="J46" s="175"/>
      <c r="K46" s="175"/>
      <c r="L46" s="175"/>
      <c r="M46" s="175"/>
      <c r="N46" s="175"/>
      <c r="O46" s="175"/>
      <c r="P46" s="175"/>
      <c r="Q46" s="162"/>
      <c r="S46" s="104"/>
      <c r="T46" s="105"/>
      <c r="U46" s="105"/>
      <c r="V46" s="105"/>
      <c r="W46" s="105"/>
      <c r="X46" s="105"/>
      <c r="Y46" s="106"/>
    </row>
    <row r="47" spans="2:25">
      <c r="B47" s="80"/>
      <c r="C47" s="65"/>
      <c r="D47" s="65"/>
      <c r="E47" s="65"/>
      <c r="F47" s="65"/>
      <c r="G47" s="175"/>
      <c r="H47" s="175"/>
      <c r="I47" s="175"/>
      <c r="J47" s="175"/>
      <c r="K47" s="175"/>
      <c r="L47" s="175"/>
      <c r="M47" s="175"/>
      <c r="N47" s="175"/>
      <c r="O47" s="175"/>
      <c r="P47" s="175"/>
      <c r="Q47" s="162"/>
      <c r="S47" s="104"/>
      <c r="T47" s="105"/>
      <c r="U47" s="105"/>
      <c r="V47" s="105"/>
      <c r="W47" s="105"/>
      <c r="X47" s="105"/>
      <c r="Y47" s="106"/>
    </row>
    <row r="48" spans="2:25">
      <c r="B48" s="80"/>
      <c r="C48" s="65"/>
      <c r="D48" s="65"/>
      <c r="E48" s="65"/>
      <c r="F48" s="65"/>
      <c r="G48" s="175"/>
      <c r="H48" s="175"/>
      <c r="I48" s="175"/>
      <c r="J48" s="175"/>
      <c r="K48" s="175"/>
      <c r="L48" s="175"/>
      <c r="M48" s="175"/>
      <c r="N48" s="175"/>
      <c r="O48" s="175"/>
      <c r="P48" s="175"/>
      <c r="Q48" s="162"/>
      <c r="S48" s="104"/>
      <c r="T48" s="105"/>
      <c r="U48" s="105"/>
      <c r="V48" s="105"/>
      <c r="W48" s="105"/>
      <c r="X48" s="105"/>
      <c r="Y48" s="106"/>
    </row>
    <row r="49" spans="2:25">
      <c r="B49" s="80"/>
      <c r="C49" s="65"/>
      <c r="D49" s="65"/>
      <c r="E49" s="65"/>
      <c r="F49" s="65"/>
      <c r="G49" s="175"/>
      <c r="H49" s="175"/>
      <c r="I49" s="175"/>
      <c r="J49" s="175"/>
      <c r="K49" s="175"/>
      <c r="L49" s="175"/>
      <c r="M49" s="175"/>
      <c r="N49" s="175"/>
      <c r="O49" s="175"/>
      <c r="P49" s="175"/>
      <c r="Q49" s="162"/>
      <c r="S49" s="104"/>
      <c r="T49" s="105"/>
      <c r="U49" s="105"/>
      <c r="V49" s="105"/>
      <c r="W49" s="105"/>
      <c r="X49" s="105"/>
      <c r="Y49" s="106"/>
    </row>
    <row r="50" spans="2:25">
      <c r="B50" s="80"/>
      <c r="C50" s="65"/>
      <c r="D50" s="65"/>
      <c r="E50" s="65"/>
      <c r="F50" s="65"/>
      <c r="G50" s="175"/>
      <c r="H50" s="175"/>
      <c r="I50" s="175"/>
      <c r="J50" s="175"/>
      <c r="K50" s="175"/>
      <c r="L50" s="175"/>
      <c r="M50" s="175"/>
      <c r="N50" s="175"/>
      <c r="O50" s="175"/>
      <c r="P50" s="175"/>
      <c r="Q50" s="162"/>
      <c r="S50" s="104"/>
      <c r="T50" s="105"/>
      <c r="U50" s="105"/>
      <c r="V50" s="105"/>
      <c r="W50" s="105"/>
      <c r="X50" s="105"/>
      <c r="Y50" s="106"/>
    </row>
    <row r="51" spans="2:25">
      <c r="B51" s="80"/>
      <c r="C51" s="65"/>
      <c r="D51" s="65"/>
      <c r="E51" s="65"/>
      <c r="F51" s="65"/>
      <c r="G51" s="175"/>
      <c r="H51" s="175"/>
      <c r="I51" s="175"/>
      <c r="J51" s="175"/>
      <c r="K51" s="175"/>
      <c r="L51" s="175"/>
      <c r="M51" s="175"/>
      <c r="N51" s="175"/>
      <c r="O51" s="175"/>
      <c r="P51" s="175"/>
      <c r="Q51" s="162"/>
      <c r="S51" s="104"/>
      <c r="T51" s="105"/>
      <c r="U51" s="105"/>
      <c r="V51" s="105"/>
      <c r="W51" s="105"/>
      <c r="X51" s="105"/>
      <c r="Y51" s="106"/>
    </row>
    <row r="52" spans="2:25">
      <c r="B52" s="80"/>
      <c r="C52" s="65"/>
      <c r="D52" s="65"/>
      <c r="E52" s="65"/>
      <c r="F52" s="65"/>
      <c r="G52" s="175"/>
      <c r="H52" s="175"/>
      <c r="I52" s="175"/>
      <c r="J52" s="175"/>
      <c r="K52" s="175"/>
      <c r="L52" s="175"/>
      <c r="M52" s="175"/>
      <c r="N52" s="175"/>
      <c r="O52" s="175"/>
      <c r="P52" s="175"/>
      <c r="Q52" s="162"/>
      <c r="S52" s="104"/>
      <c r="T52" s="105"/>
      <c r="U52" s="105"/>
      <c r="V52" s="105"/>
      <c r="W52" s="105"/>
      <c r="X52" s="105"/>
      <c r="Y52" s="106"/>
    </row>
    <row r="53" spans="2:25">
      <c r="B53" s="80"/>
      <c r="C53" s="65"/>
      <c r="D53" s="65"/>
      <c r="E53" s="65"/>
      <c r="F53" s="65"/>
      <c r="G53" s="175"/>
      <c r="H53" s="175"/>
      <c r="I53" s="175"/>
      <c r="J53" s="175"/>
      <c r="K53" s="175"/>
      <c r="L53" s="175"/>
      <c r="M53" s="175"/>
      <c r="N53" s="175"/>
      <c r="O53" s="175"/>
      <c r="P53" s="175"/>
      <c r="Q53" s="162"/>
      <c r="S53" s="104"/>
      <c r="T53" s="105"/>
      <c r="U53" s="105"/>
      <c r="V53" s="105"/>
      <c r="W53" s="105"/>
      <c r="X53" s="105"/>
      <c r="Y53" s="106"/>
    </row>
    <row r="54" spans="2:25">
      <c r="B54" s="80"/>
      <c r="C54" s="65"/>
      <c r="D54" s="65"/>
      <c r="E54" s="65"/>
      <c r="F54" s="65"/>
      <c r="G54" s="175"/>
      <c r="H54" s="175"/>
      <c r="I54" s="175"/>
      <c r="J54" s="175"/>
      <c r="K54" s="175"/>
      <c r="L54" s="175"/>
      <c r="M54" s="175"/>
      <c r="N54" s="175"/>
      <c r="O54" s="175"/>
      <c r="P54" s="175"/>
      <c r="Q54" s="162"/>
      <c r="S54" s="104"/>
      <c r="T54" s="105"/>
      <c r="U54" s="105"/>
      <c r="V54" s="105"/>
      <c r="W54" s="105"/>
      <c r="X54" s="105"/>
      <c r="Y54" s="106"/>
    </row>
    <row r="55" spans="2:25">
      <c r="B55" s="80"/>
      <c r="C55" s="65"/>
      <c r="D55" s="65"/>
      <c r="E55" s="65"/>
      <c r="F55" s="65"/>
      <c r="G55" s="175"/>
      <c r="H55" s="175"/>
      <c r="I55" s="175"/>
      <c r="J55" s="175"/>
      <c r="K55" s="175"/>
      <c r="L55" s="175"/>
      <c r="M55" s="175"/>
      <c r="N55" s="175"/>
      <c r="O55" s="175"/>
      <c r="P55" s="175"/>
      <c r="Q55" s="162"/>
      <c r="S55" s="104"/>
      <c r="T55" s="105"/>
      <c r="U55" s="105"/>
      <c r="V55" s="105"/>
      <c r="W55" s="105"/>
      <c r="X55" s="105"/>
      <c r="Y55" s="106"/>
    </row>
    <row r="56" spans="2:25">
      <c r="B56" s="80"/>
      <c r="C56" s="65"/>
      <c r="D56" s="65"/>
      <c r="E56" s="65"/>
      <c r="F56" s="65"/>
      <c r="G56" s="175"/>
      <c r="H56" s="175"/>
      <c r="I56" s="175"/>
      <c r="J56" s="175"/>
      <c r="K56" s="175"/>
      <c r="L56" s="175"/>
      <c r="M56" s="175"/>
      <c r="N56" s="175"/>
      <c r="O56" s="175"/>
      <c r="P56" s="175"/>
      <c r="Q56" s="162"/>
      <c r="S56" s="104"/>
      <c r="T56" s="105"/>
      <c r="U56" s="105"/>
      <c r="V56" s="105"/>
      <c r="W56" s="105"/>
      <c r="X56" s="105"/>
      <c r="Y56" s="106"/>
    </row>
    <row r="57" spans="2:25">
      <c r="B57" s="80"/>
      <c r="C57" s="65"/>
      <c r="D57" s="65"/>
      <c r="E57" s="65"/>
      <c r="F57" s="65"/>
      <c r="G57" s="175"/>
      <c r="H57" s="175"/>
      <c r="I57" s="175"/>
      <c r="J57" s="175"/>
      <c r="K57" s="175"/>
      <c r="L57" s="175"/>
      <c r="M57" s="175"/>
      <c r="N57" s="175"/>
      <c r="O57" s="175"/>
      <c r="P57" s="175"/>
      <c r="Q57" s="162"/>
      <c r="S57" s="104"/>
      <c r="T57" s="105"/>
      <c r="U57" s="105"/>
      <c r="V57" s="105"/>
      <c r="W57" s="105"/>
      <c r="X57" s="105"/>
      <c r="Y57" s="106"/>
    </row>
    <row r="58" spans="2:25">
      <c r="B58" s="80"/>
      <c r="C58" s="65"/>
      <c r="D58" s="65"/>
      <c r="E58" s="65"/>
      <c r="F58" s="65"/>
      <c r="G58" s="175"/>
      <c r="H58" s="175"/>
      <c r="I58" s="175"/>
      <c r="J58" s="175"/>
      <c r="K58" s="175"/>
      <c r="L58" s="175"/>
      <c r="M58" s="175"/>
      <c r="N58" s="175"/>
      <c r="O58" s="175"/>
      <c r="P58" s="175"/>
      <c r="Q58" s="162"/>
      <c r="S58" s="104"/>
      <c r="T58" s="105"/>
      <c r="U58" s="105"/>
      <c r="V58" s="105"/>
      <c r="W58" s="105"/>
      <c r="X58" s="105"/>
      <c r="Y58" s="106"/>
    </row>
    <row r="59" spans="2:25">
      <c r="B59" s="80"/>
      <c r="C59" s="65"/>
      <c r="D59" s="65"/>
      <c r="E59" s="65"/>
      <c r="F59" s="65"/>
      <c r="G59" s="175"/>
      <c r="H59" s="175"/>
      <c r="I59" s="175"/>
      <c r="J59" s="175"/>
      <c r="K59" s="175"/>
      <c r="L59" s="175"/>
      <c r="M59" s="175"/>
      <c r="N59" s="175"/>
      <c r="O59" s="175"/>
      <c r="P59" s="175"/>
      <c r="Q59" s="162"/>
      <c r="S59" s="104"/>
      <c r="T59" s="105"/>
      <c r="U59" s="105"/>
      <c r="V59" s="105"/>
      <c r="W59" s="105"/>
      <c r="X59" s="105"/>
      <c r="Y59" s="106"/>
    </row>
    <row r="60" spans="2:25">
      <c r="B60" s="80"/>
      <c r="C60" s="65"/>
      <c r="D60" s="65"/>
      <c r="E60" s="65"/>
      <c r="F60" s="65"/>
      <c r="G60" s="175"/>
      <c r="H60" s="175"/>
      <c r="I60" s="175"/>
      <c r="J60" s="175"/>
      <c r="K60" s="175"/>
      <c r="L60" s="175"/>
      <c r="M60" s="175"/>
      <c r="N60" s="175"/>
      <c r="O60" s="175"/>
      <c r="P60" s="175"/>
      <c r="Q60" s="162"/>
      <c r="S60" s="104"/>
      <c r="T60" s="105"/>
      <c r="U60" s="105"/>
      <c r="V60" s="105"/>
      <c r="W60" s="105"/>
      <c r="X60" s="105"/>
      <c r="Y60" s="106"/>
    </row>
    <row r="61" spans="2:25">
      <c r="B61" s="80"/>
      <c r="C61" s="65"/>
      <c r="D61" s="65"/>
      <c r="E61" s="65"/>
      <c r="F61" s="65"/>
      <c r="G61" s="175"/>
      <c r="H61" s="175"/>
      <c r="I61" s="175"/>
      <c r="J61" s="175"/>
      <c r="K61" s="175"/>
      <c r="L61" s="175"/>
      <c r="M61" s="175"/>
      <c r="N61" s="175"/>
      <c r="O61" s="175"/>
      <c r="P61" s="175"/>
      <c r="Q61" s="162"/>
      <c r="S61" s="104"/>
      <c r="T61" s="105"/>
      <c r="U61" s="105"/>
      <c r="V61" s="105"/>
      <c r="W61" s="105"/>
      <c r="X61" s="105"/>
      <c r="Y61" s="106"/>
    </row>
    <row r="62" spans="2:25">
      <c r="S62" s="104"/>
      <c r="T62" s="105"/>
      <c r="U62" s="105"/>
      <c r="V62" s="105"/>
      <c r="W62" s="105"/>
      <c r="X62" s="105"/>
      <c r="Y62" s="106"/>
    </row>
    <row r="63" spans="2:25">
      <c r="S63" s="107"/>
      <c r="T63" s="108"/>
      <c r="U63" s="108"/>
      <c r="V63" s="108"/>
      <c r="W63" s="108"/>
      <c r="X63" s="108"/>
      <c r="Y63" s="109"/>
    </row>
  </sheetData>
  <mergeCells count="14">
    <mergeCell ref="B7:C7"/>
    <mergeCell ref="B8:C8"/>
    <mergeCell ref="D8:F8"/>
    <mergeCell ref="S10:Y10"/>
    <mergeCell ref="B3:C3"/>
    <mergeCell ref="T3:Y3"/>
    <mergeCell ref="B4:C4"/>
    <mergeCell ref="T4:Y4"/>
    <mergeCell ref="B5:C5"/>
    <mergeCell ref="G5:G8"/>
    <mergeCell ref="H5:J8"/>
    <mergeCell ref="S5:S8"/>
    <mergeCell ref="T5:Y8"/>
    <mergeCell ref="B6:C6"/>
  </mergeCells>
  <phoneticPr fontId="1"/>
  <conditionalFormatting sqref="F3:G3">
    <cfRule type="cellIs" dxfId="1" priority="2" operator="equal">
      <formula>"マスタデータ"</formula>
    </cfRule>
  </conditionalFormatting>
  <conditionalFormatting sqref="S3">
    <cfRule type="cellIs" dxfId="0" priority="1" operator="equal">
      <formula>"マスタデータ"</formula>
    </cfRule>
  </conditionalFormatting>
  <dataValidations count="16">
    <dataValidation type="list" allowBlank="1" showInputMessage="1" showErrorMessage="1" sqref="G12:G61" xr:uid="{957A99FE-461B-184E-8E7B-7EE128633FD4}">
      <formula1>"1,2,3,4,5"</formula1>
    </dataValidation>
    <dataValidation allowBlank="1" showInputMessage="1" showErrorMessage="1" prompt="インデックスの指定は最大10個まで対応しています。" sqref="Q12:Q61" xr:uid="{BC1CC9A6-C554-6343-BE6F-7D37A8A26455}"/>
    <dataValidation allowBlank="1" showInputMessage="1" showErrorMessage="1" promptTitle="物理テーブル名の入力ルール" prompt="先頭4文字は、必ず「アルファベット1文字」「数字3桁」で入力してください。_x000a_例）「m001_usr_masters」_x000a_理由）出力時のシート名で利用、かつインデックスの識別子（一部）に利用します。" sqref="D6" xr:uid="{4916467A-89B3-D84F-8CAD-785730029E8A}"/>
    <dataValidation type="list" allowBlank="1" showInputMessage="1" showErrorMessage="1" prompt="インデックスの指定は最大10個まで対応しています。" sqref="N12:P61" xr:uid="{6993CFCC-9993-3246-B2EA-DCD799C2C6B5}">
      <formula1>"1,2,3,4,5,6,7,8,9,10"</formula1>
    </dataValidation>
    <dataValidation type="list" allowBlank="1" showInputMessage="1" showErrorMessage="1" sqref="M12:M61" xr:uid="{7CDEA137-0F1F-4B4B-94FD-22995C5C5045}">
      <formula1>"ZEROFILL"</formula1>
    </dataValidation>
    <dataValidation type="list" allowBlank="1" showInputMessage="1" showErrorMessage="1" sqref="L12:L61" xr:uid="{A2A4834A-40BD-444B-B515-5E15044D1B35}">
      <formula1>"UNSIGNED"</formula1>
    </dataValidation>
    <dataValidation imeMode="halfAlpha" allowBlank="1" showInputMessage="1" showErrorMessage="1" sqref="K12:K61" xr:uid="{337970B9-4FA9-2A46-AA34-55DDB137A18F}"/>
    <dataValidation type="list" allowBlank="1" showInputMessage="1" showErrorMessage="1" sqref="J12:J61" xr:uid="{FF1E3317-4547-3349-911B-83E979D35108}">
      <formula1>"NOT NULL"</formula1>
    </dataValidation>
    <dataValidation type="list" allowBlank="1" showInputMessage="1" showErrorMessage="1" promptTitle="主キー（または複合主キー）の入力" prompt="主キーの場合は「1」を入力、_x000a_複合主キーの場合は 1〜5までの数字で入力してください。" sqref="G12:G61" xr:uid="{20AF25A5-3FDC-644F-8A4F-A8F586CD0DBE}">
      <formula1>"1,2,3,4,5"</formula1>
    </dataValidation>
    <dataValidation type="list" allowBlank="1" showInputMessage="1" showErrorMessage="1" sqref="F6" xr:uid="{ECF64B15-62CA-7B49-B382-3A85145EC289}">
      <formula1>ENGINE</formula1>
    </dataValidation>
    <dataValidation type="list" allowBlank="1" showInputMessage="1" showErrorMessage="1" sqref="F7" xr:uid="{BF9E2487-D210-AB42-839C-D1CE41ABEBB2}">
      <formula1>Charset_List</formula1>
    </dataValidation>
    <dataValidation type="list" allowBlank="1" showInputMessage="1" showErrorMessage="1" sqref="F5" xr:uid="{6820B133-CEA3-894C-80F7-B93D64E54E19}">
      <formula1>MySQL_Ver</formula1>
    </dataValidation>
    <dataValidation type="list" allowBlank="1" showInputMessage="1" showErrorMessage="1" prompt="型分類を選択してから、データ型を選択してください。" sqref="F12:F61" xr:uid="{DFD68BD0-9956-1B4E-B357-5A4401B76D1E}">
      <formula1>INDIRECT($E12)</formula1>
    </dataValidation>
    <dataValidation type="list" allowBlank="1" showInputMessage="1" showErrorMessage="1" sqref="E12:E61" xr:uid="{45011854-2202-AE44-A9FA-EBEDD81B22E9}">
      <formula1>DataTypeCategory</formula1>
    </dataValidation>
    <dataValidation type="list" allowBlank="1" showInputMessage="1" showErrorMessage="1" sqref="F4" xr:uid="{5A8B2724-AE17-9B48-A870-8C300CA1DB98}">
      <formula1>"TEMPORARY TABLE, TABLE"</formula1>
    </dataValidation>
    <dataValidation type="list" allowBlank="1" showInputMessage="1" showErrorMessage="1" sqref="F3" xr:uid="{CCC1C429-7011-1842-90C6-DACDC803F976}">
      <formula1>"マスタデータ,トランザクションデータ"</formula1>
    </dataValidation>
  </dataValidation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reateSQL_ButtonClick">
                <anchor moveWithCells="1">
                  <from>
                    <xdr:col>10</xdr:col>
                    <xdr:colOff>292100</xdr:colOff>
                    <xdr:row>2</xdr:row>
                    <xdr:rowOff>0</xdr:rowOff>
                  </from>
                  <to>
                    <xdr:col>15</xdr:col>
                    <xdr:colOff>114300</xdr:colOff>
                    <xdr:row>8</xdr:row>
                    <xdr:rowOff>0</xdr:rowOff>
                  </to>
                </anchor>
              </controlPr>
            </control>
          </mc:Choice>
        </mc:AlternateContent>
        <mc:AlternateContent xmlns:mc="http://schemas.openxmlformats.org/markup-compatibility/2006">
          <mc:Choice Requires="x14">
            <control shapeId="2050" r:id="rId4" name="Button 2">
              <controlPr defaultSize="0" print="0" autoFill="0" autoPict="0" macro="[0]!CopyCreateSQL_ButtonClick">
                <anchor moveWithCells="1">
                  <from>
                    <xdr:col>25</xdr:col>
                    <xdr:colOff>292100</xdr:colOff>
                    <xdr:row>9</xdr:row>
                    <xdr:rowOff>0</xdr:rowOff>
                  </from>
                  <to>
                    <xdr:col>27</xdr:col>
                    <xdr:colOff>584200</xdr:colOff>
                    <xdr:row>11</xdr:row>
                    <xdr:rowOff>0</xdr:rowOff>
                  </to>
                </anchor>
              </controlPr>
            </control>
          </mc:Choice>
        </mc:AlternateContent>
        <mc:AlternateContent xmlns:mc="http://schemas.openxmlformats.org/markup-compatibility/2006">
          <mc:Choice Requires="x14">
            <control shapeId="2051" r:id="rId5" name="Button 3">
              <controlPr defaultSize="0" print="0" autoFill="0" autoPict="0" macro="[0]!BackInputForm_ButtonClick">
                <anchor moveWithCells="1">
                  <from>
                    <xdr:col>25</xdr:col>
                    <xdr:colOff>292100</xdr:colOff>
                    <xdr:row>4</xdr:row>
                    <xdr:rowOff>0</xdr:rowOff>
                  </from>
                  <to>
                    <xdr:col>27</xdr:col>
                    <xdr:colOff>584200</xdr:colOff>
                    <xdr:row>7</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4</vt:i4>
      </vt:variant>
      <vt:variant>
        <vt:lpstr>名前付き一覧</vt:lpstr>
      </vt:variant>
      <vt:variant>
        <vt:i4>7</vt:i4>
      </vt:variant>
    </vt:vector>
  </HeadingPairs>
  <TitlesOfParts>
    <vt:vector size="11" baseType="lpstr">
      <vt:lpstr>仕様</vt:lpstr>
      <vt:lpstr>型</vt:lpstr>
      <vt:lpstr>例</vt:lpstr>
      <vt:lpstr>Template</vt:lpstr>
      <vt:lpstr>Charset_List</vt:lpstr>
      <vt:lpstr>DataTypeCategory</vt:lpstr>
      <vt:lpstr>ENGINE</vt:lpstr>
      <vt:lpstr>MySQL_Ver</vt:lpstr>
      <vt:lpstr>数値型</vt:lpstr>
      <vt:lpstr>日付・時間型</vt:lpstr>
      <vt:lpstr>文字列型</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yoko watanabe</dc:creator>
  <cp:keywords/>
  <dc:description/>
  <cp:lastModifiedBy>yoko watanabe</cp:lastModifiedBy>
  <cp:revision/>
  <dcterms:created xsi:type="dcterms:W3CDTF">2019-01-10T07:56:30Z</dcterms:created>
  <dcterms:modified xsi:type="dcterms:W3CDTF">2019-05-11T11:00:34Z</dcterms:modified>
  <cp:category/>
  <cp:contentStatus/>
</cp:coreProperties>
</file>